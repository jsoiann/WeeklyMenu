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skyan\OneDrive\桌面\"/>
    </mc:Choice>
  </mc:AlternateContent>
  <xr:revisionPtr revIDLastSave="0" documentId="13_ncr:1_{5ECC2CF9-8086-40D5-AD79-E47EE079A851}" xr6:coauthVersionLast="47" xr6:coauthVersionMax="47" xr10:uidLastSave="{00000000-0000-0000-0000-000000000000}"/>
  <bookViews>
    <workbookView xWindow="-110" yWindow="-110" windowWidth="19420" windowHeight="10300" xr2:uid="{D3CD4B5A-BC5A-4F70-9177-788540974920}"/>
  </bookViews>
  <sheets>
    <sheet name="菜式清單" sheetId="1" r:id="rId1"/>
    <sheet name="材料" sheetId="2" r:id="rId2"/>
    <sheet name="做法" sheetId="3" r:id="rId3"/>
    <sheet name="材料庫" sheetId="4" r:id="rId4"/>
    <sheet name="清單選項"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59" i="3" l="1"/>
  <c r="A60" i="3"/>
  <c r="E59" i="3"/>
  <c r="E60" i="3"/>
  <c r="F59" i="3"/>
  <c r="F60" i="3"/>
  <c r="G59" i="3"/>
  <c r="G60" i="3"/>
  <c r="A58" i="3"/>
  <c r="E58" i="3"/>
  <c r="F58" i="3"/>
  <c r="G58" i="3"/>
  <c r="C74" i="4"/>
  <c r="D74" i="4"/>
  <c r="C73" i="4"/>
  <c r="D73" i="4"/>
  <c r="B72" i="4"/>
  <c r="D72" i="4"/>
  <c r="C72" i="4"/>
  <c r="A125" i="2"/>
  <c r="A126" i="2"/>
  <c r="A127" i="2"/>
  <c r="A128" i="2"/>
  <c r="A124" i="2"/>
  <c r="A123" i="2"/>
  <c r="A57" i="3"/>
  <c r="E57" i="3"/>
  <c r="F57" i="3"/>
  <c r="G57" i="3"/>
  <c r="A56" i="3"/>
  <c r="E56" i="3"/>
  <c r="F56" i="3"/>
  <c r="G56"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2" i="3"/>
  <c r="E55" i="3"/>
  <c r="F55" i="3"/>
  <c r="G55" i="3"/>
  <c r="A2"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F2" i="3"/>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E2" i="3"/>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D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C2"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B41" i="4"/>
  <c r="B42" i="4"/>
  <c r="B43" i="4"/>
  <c r="B44" i="4"/>
  <c r="B45" i="4"/>
  <c r="B46" i="4"/>
  <c r="B47" i="4"/>
  <c r="B48" i="4"/>
  <c r="B49" i="4"/>
  <c r="B50" i="4"/>
  <c r="B51" i="4"/>
  <c r="B52" i="4"/>
  <c r="B53" i="4"/>
  <c r="B54" i="4"/>
  <c r="B55" i="4"/>
  <c r="B56" i="4"/>
  <c r="B57" i="4"/>
  <c r="B58" i="4"/>
  <c r="B59" i="4"/>
  <c r="B60" i="4"/>
  <c r="B61" i="4"/>
  <c r="B62" i="4"/>
  <c r="B63" i="4"/>
  <c r="B64" i="4"/>
  <c r="B65" i="4"/>
  <c r="B67" i="4"/>
  <c r="B68" i="4"/>
  <c r="B69" i="4"/>
  <c r="B70" i="4"/>
  <c r="B71" i="4"/>
  <c r="B2"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7" i="4"/>
  <c r="B4" i="4"/>
  <c r="B3" i="4"/>
  <c r="B6" i="4"/>
  <c r="B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D25" authorId="0" shapeId="0" xr:uid="{9C86073D-2677-417A-AB08-D321EF476175}">
      <text>
        <r>
          <rPr>
            <sz val="12"/>
            <color theme="1"/>
            <rFont val="新細明體"/>
            <family val="2"/>
            <charset val="136"/>
            <scheme val="minor"/>
          </rPr>
          <t>手寫「半1sp」「2sp」，單位不清，暫寫「匙」</t>
        </r>
      </text>
    </comment>
    <comment ref="D27" authorId="0" shapeId="0" xr:uid="{A12E4064-7AC7-44CA-B38A-D3C80F88A937}">
      <text>
        <r>
          <rPr>
            <sz val="12"/>
            <color theme="1"/>
            <rFont val="新細明體"/>
            <family val="2"/>
            <charset val="136"/>
            <scheme val="minor"/>
          </rPr>
          <t>手寫字不清，似「加1杯滾水」</t>
        </r>
      </text>
    </comment>
    <comment ref="D37" authorId="0" shapeId="0" xr:uid="{6519F562-A210-4DD1-84AC-E4ADDCB099F3}">
      <text>
        <r>
          <rPr>
            <sz val="12"/>
            <color theme="1"/>
            <rFont val="新細明體"/>
            <family val="2"/>
            <charset val="136"/>
            <scheme val="minor"/>
          </rPr>
          <t>手寫末段「倒入菠菜，盛起」被劃走，菠菜如何同湯蛋合併待確認</t>
        </r>
      </text>
    </comment>
    <comment ref="D39" authorId="0" shapeId="0" xr:uid="{10BEF367-7427-40D8-AE86-2AD0D973BB24}">
      <text>
        <r>
          <rPr>
            <sz val="12"/>
            <color theme="1"/>
            <rFont val="新細明體"/>
            <family val="2"/>
            <charset val="136"/>
            <scheme val="minor"/>
          </rPr>
          <t>手寫「拿拿」及「表面濕」字不清</t>
        </r>
      </text>
    </comment>
    <comment ref="D48" authorId="0" shapeId="0" xr:uid="{C7FD163B-885B-4706-80A0-EB69B0F9D8A6}">
      <text>
        <r>
          <rPr>
            <sz val="12"/>
            <color theme="1"/>
            <rFont val="新細明體"/>
            <family val="2"/>
            <charset val="136"/>
            <scheme val="minor"/>
          </rPr>
          <t>手寫「一定要拿面」字不清</t>
        </r>
      </text>
    </comment>
    <comment ref="D50" authorId="0" shapeId="0" xr:uid="{57F2032D-C667-4AC0-AAE1-83F208426282}">
      <text>
        <r>
          <rPr>
            <sz val="12"/>
            <color theme="1"/>
            <rFont val="新細明體"/>
            <family val="2"/>
            <charset val="136"/>
            <scheme val="minor"/>
          </rPr>
          <t>手寫有塗改（下大滾煮），整句待確認</t>
        </r>
      </text>
    </comment>
  </commentList>
</comments>
</file>

<file path=xl/sharedStrings.xml><?xml version="1.0" encoding="utf-8"?>
<sst xmlns="http://schemas.openxmlformats.org/spreadsheetml/2006/main" count="3373" uniqueCount="888">
  <si>
    <r>
      <rPr>
        <sz val="12"/>
        <color theme="1"/>
        <rFont val="新細明體"/>
        <family val="2"/>
        <charset val="136"/>
      </rPr>
      <t>菜系</t>
    </r>
    <phoneticPr fontId="2" type="noConversion"/>
  </si>
  <si>
    <t>Dish</t>
    <phoneticPr fontId="2" type="noConversion"/>
  </si>
  <si>
    <r>
      <rPr>
        <sz val="12"/>
        <color theme="1"/>
        <rFont val="細明體"/>
        <family val="2"/>
        <charset val="136"/>
      </rPr>
      <t>菜名</t>
    </r>
    <phoneticPr fontId="2" type="noConversion"/>
  </si>
  <si>
    <r>
      <rPr>
        <sz val="12"/>
        <color theme="1"/>
        <rFont val="細明體"/>
        <family val="2"/>
        <charset val="136"/>
      </rPr>
      <t>中式</t>
    </r>
    <phoneticPr fontId="2" type="noConversion"/>
  </si>
  <si>
    <r>
      <rPr>
        <sz val="12"/>
        <color theme="1"/>
        <rFont val="細明體"/>
        <family val="2"/>
        <charset val="136"/>
      </rPr>
      <t>燕麥蒸肉餅</t>
    </r>
    <phoneticPr fontId="2" type="noConversion"/>
  </si>
  <si>
    <t>西式</t>
    <phoneticPr fontId="2" type="noConversion"/>
  </si>
  <si>
    <t>Yes</t>
    <phoneticPr fontId="2" type="noConversion"/>
  </si>
  <si>
    <t>No</t>
    <phoneticPr fontId="2" type="noConversion"/>
  </si>
  <si>
    <t>蒸水蛋</t>
    <phoneticPr fontId="2" type="noConversion"/>
  </si>
  <si>
    <t>肉碎蒸水蛋</t>
    <phoneticPr fontId="2" type="noConversion"/>
  </si>
  <si>
    <t>鼓椒炒蜆</t>
    <phoneticPr fontId="2" type="noConversion"/>
  </si>
  <si>
    <t>冬菜蒸青根</t>
    <phoneticPr fontId="2" type="noConversion"/>
  </si>
  <si>
    <t>白奶油燉雞扒</t>
    <phoneticPr fontId="2" type="noConversion"/>
  </si>
  <si>
    <t>泰式</t>
    <phoneticPr fontId="2" type="noConversion"/>
  </si>
  <si>
    <t>麻婆豆腐</t>
    <phoneticPr fontId="2" type="noConversion"/>
  </si>
  <si>
    <t>蒜蓉蒸茄子</t>
    <phoneticPr fontId="2" type="noConversion"/>
  </si>
  <si>
    <t>金銀蛋菠菜</t>
    <phoneticPr fontId="2" type="noConversion"/>
  </si>
  <si>
    <r>
      <rPr>
        <sz val="12"/>
        <color theme="1"/>
        <rFont val="細明體"/>
        <family val="2"/>
        <charset val="136"/>
      </rPr>
      <t>純素</t>
    </r>
    <phoneticPr fontId="2" type="noConversion"/>
  </si>
  <si>
    <r>
      <rPr>
        <sz val="12"/>
        <color theme="1"/>
        <rFont val="細明體"/>
        <family val="2"/>
        <charset val="136"/>
      </rPr>
      <t>蛋奶素</t>
    </r>
    <phoneticPr fontId="2" type="noConversion"/>
  </si>
  <si>
    <r>
      <rPr>
        <sz val="12"/>
        <color theme="1"/>
        <rFont val="細明體"/>
        <family val="2"/>
        <charset val="136"/>
      </rPr>
      <t>煎牛扒</t>
    </r>
    <phoneticPr fontId="2" type="noConversion"/>
  </si>
  <si>
    <r>
      <rPr>
        <sz val="12"/>
        <color theme="1"/>
        <rFont val="細明體"/>
        <family val="2"/>
        <charset val="136"/>
      </rPr>
      <t>打拋豬</t>
    </r>
    <phoneticPr fontId="2" type="noConversion"/>
  </si>
  <si>
    <r>
      <rPr>
        <sz val="12"/>
        <color theme="1"/>
        <rFont val="細明體"/>
        <family val="2"/>
        <charset val="136"/>
      </rPr>
      <t>餐點類別</t>
    </r>
    <r>
      <rPr>
        <sz val="12"/>
        <color theme="1"/>
        <rFont val="Calibri"/>
        <family val="2"/>
      </rPr>
      <t>(Menu)</t>
    </r>
    <phoneticPr fontId="2" type="noConversion"/>
  </si>
  <si>
    <t>Breakfast</t>
    <phoneticPr fontId="2" type="noConversion"/>
  </si>
  <si>
    <t>Lunch</t>
    <phoneticPr fontId="2" type="noConversion"/>
  </si>
  <si>
    <t>Dinner</t>
    <phoneticPr fontId="2" type="noConversion"/>
  </si>
  <si>
    <t>牛奶凍</t>
    <phoneticPr fontId="2" type="noConversion"/>
  </si>
  <si>
    <t>吞拿魚秋葵沙律</t>
    <phoneticPr fontId="2" type="noConversion"/>
  </si>
  <si>
    <t>日式</t>
    <phoneticPr fontId="2" type="noConversion"/>
  </si>
  <si>
    <t>椰汁燉芋頭</t>
    <phoneticPr fontId="2" type="noConversion"/>
  </si>
  <si>
    <t>阿育吠陀</t>
  </si>
  <si>
    <t>焗芝士肉醬薯仔批</t>
    <phoneticPr fontId="2" type="noConversion"/>
  </si>
  <si>
    <t>腐竹芋圓糖水</t>
    <phoneticPr fontId="2" type="noConversion"/>
  </si>
  <si>
    <t>韓式飯卷</t>
    <phoneticPr fontId="2" type="noConversion"/>
  </si>
  <si>
    <t>芝士三文治</t>
    <phoneticPr fontId="2" type="noConversion"/>
  </si>
  <si>
    <t>薯仔白咖喱</t>
    <phoneticPr fontId="2" type="noConversion"/>
  </si>
  <si>
    <t>韓式</t>
    <phoneticPr fontId="2" type="noConversion"/>
  </si>
  <si>
    <t>豆泥咖喱</t>
    <phoneticPr fontId="2" type="noConversion"/>
  </si>
  <si>
    <t>薑葱焗桶蠔</t>
    <phoneticPr fontId="2" type="noConversion"/>
  </si>
  <si>
    <t>土匪雞翼</t>
    <phoneticPr fontId="2" type="noConversion"/>
  </si>
  <si>
    <t>涼伴雲耳</t>
    <phoneticPr fontId="2" type="noConversion"/>
  </si>
  <si>
    <t>拍青瓜</t>
    <phoneticPr fontId="2" type="noConversion"/>
  </si>
  <si>
    <t>涼伴雞絲</t>
    <phoneticPr fontId="2" type="noConversion"/>
  </si>
  <si>
    <t>滋陰健胃湯</t>
    <phoneticPr fontId="2" type="noConversion"/>
  </si>
  <si>
    <t>淮山粟米粟子湯</t>
    <phoneticPr fontId="2" type="noConversion"/>
  </si>
  <si>
    <t>魚唇滋陰養顏湯</t>
    <phoneticPr fontId="2" type="noConversion"/>
  </si>
  <si>
    <t>姬松菇養心安神湯</t>
    <phoneticPr fontId="2" type="noConversion"/>
  </si>
  <si>
    <t>薑汁撞奶</t>
    <phoneticPr fontId="2" type="noConversion"/>
  </si>
  <si>
    <t>洋葱豬排</t>
    <phoneticPr fontId="2" type="noConversion"/>
  </si>
  <si>
    <t>井</t>
    <phoneticPr fontId="2" type="noConversion"/>
  </si>
  <si>
    <t>水牛蘑菇</t>
    <phoneticPr fontId="2" type="noConversion"/>
  </si>
  <si>
    <t>泰式魚餅</t>
    <phoneticPr fontId="2" type="noConversion"/>
  </si>
  <si>
    <t>蕃茄青口</t>
    <phoneticPr fontId="2" type="noConversion"/>
  </si>
  <si>
    <t>京葱炒羊肉片</t>
    <phoneticPr fontId="2" type="noConversion"/>
  </si>
  <si>
    <t>台灣滷肉</t>
    <phoneticPr fontId="2" type="noConversion"/>
  </si>
  <si>
    <t>泰式豬排</t>
    <phoneticPr fontId="2" type="noConversion"/>
  </si>
  <si>
    <t>洋葱湯</t>
    <phoneticPr fontId="2" type="noConversion"/>
  </si>
  <si>
    <t>羊架</t>
    <phoneticPr fontId="2" type="noConversion"/>
  </si>
  <si>
    <t>雞蛋薯仔沙律</t>
    <phoneticPr fontId="2" type="noConversion"/>
  </si>
  <si>
    <t>墨西哥芝士餡餅</t>
    <phoneticPr fontId="2" type="noConversion"/>
  </si>
  <si>
    <t>金菇肥牛卷</t>
    <phoneticPr fontId="2" type="noConversion"/>
  </si>
  <si>
    <t>印度奶油雞</t>
    <phoneticPr fontId="2" type="noConversion"/>
  </si>
  <si>
    <t>腐乳雞翼</t>
    <phoneticPr fontId="2" type="noConversion"/>
  </si>
  <si>
    <t>泰式豬頸肉</t>
    <phoneticPr fontId="2" type="noConversion"/>
  </si>
  <si>
    <t>白汁芝士焗菠菜薯仔</t>
    <phoneticPr fontId="2" type="noConversion"/>
  </si>
  <si>
    <r>
      <rPr>
        <sz val="12"/>
        <color theme="1"/>
        <rFont val="細明體"/>
        <family val="2"/>
        <charset val="136"/>
      </rPr>
      <t>純素香蕉</t>
    </r>
    <r>
      <rPr>
        <sz val="12"/>
        <color theme="1"/>
        <rFont val="新細明體"/>
        <family val="2"/>
        <charset val="136"/>
        <scheme val="minor"/>
      </rPr>
      <t>pancake</t>
    </r>
    <phoneticPr fontId="2" type="noConversion"/>
  </si>
  <si>
    <r>
      <t>香蕉</t>
    </r>
    <r>
      <rPr>
        <sz val="12"/>
        <color theme="1"/>
        <rFont val="Calibri"/>
        <family val="2"/>
      </rPr>
      <t>pancake</t>
    </r>
  </si>
  <si>
    <t>清冬蔭公湯</t>
    <phoneticPr fontId="2" type="noConversion"/>
  </si>
  <si>
    <t>米紙蛋餅</t>
    <phoneticPr fontId="2" type="noConversion"/>
  </si>
  <si>
    <t>Yogurt</t>
    <phoneticPr fontId="2" type="noConversion"/>
  </si>
  <si>
    <t>牛丼</t>
    <phoneticPr fontId="2" type="noConversion"/>
  </si>
  <si>
    <t>蓮藕炒甘筍</t>
    <phoneticPr fontId="2" type="noConversion"/>
  </si>
  <si>
    <t>蒜蓉香菇</t>
    <phoneticPr fontId="2" type="noConversion"/>
  </si>
  <si>
    <t>關東煮</t>
    <phoneticPr fontId="2" type="noConversion"/>
  </si>
  <si>
    <t>蒜泥白肉</t>
    <phoneticPr fontId="2" type="noConversion"/>
  </si>
  <si>
    <t>茄子凍</t>
    <phoneticPr fontId="2" type="noConversion"/>
  </si>
  <si>
    <t>沙嗲串</t>
    <phoneticPr fontId="2" type="noConversion"/>
  </si>
  <si>
    <t>川椒雞</t>
    <phoneticPr fontId="2" type="noConversion"/>
  </si>
  <si>
    <t>牧羊人派</t>
    <phoneticPr fontId="2" type="noConversion"/>
  </si>
  <si>
    <t>奶油南瓜野菇飯</t>
    <phoneticPr fontId="2" type="noConversion"/>
  </si>
  <si>
    <t>南瓜餅</t>
    <phoneticPr fontId="2" type="noConversion"/>
  </si>
  <si>
    <t>日式拿玻里意粉</t>
    <phoneticPr fontId="2" type="noConversion"/>
  </si>
  <si>
    <t>素沙嗲串</t>
    <phoneticPr fontId="2" type="noConversion"/>
  </si>
  <si>
    <t>燜釀豆腐泡</t>
    <phoneticPr fontId="2" type="noConversion"/>
  </si>
  <si>
    <t>酸麵包法式吐司</t>
    <phoneticPr fontId="2" type="noConversion"/>
  </si>
  <si>
    <t>笛子卷餅</t>
    <phoneticPr fontId="2" type="noConversion"/>
  </si>
  <si>
    <t>香草爆米花</t>
    <phoneticPr fontId="2" type="noConversion"/>
  </si>
  <si>
    <t>茶漬飯</t>
    <phoneticPr fontId="2" type="noConversion"/>
  </si>
  <si>
    <t>夏野菜之燒浸</t>
    <phoneticPr fontId="2" type="noConversion"/>
  </si>
  <si>
    <t>豆腐沙律</t>
    <phoneticPr fontId="2" type="noConversion"/>
  </si>
  <si>
    <t>梅子薯蓉釀豆卜</t>
    <phoneticPr fontId="2" type="noConversion"/>
  </si>
  <si>
    <t>紅油抄手</t>
    <phoneticPr fontId="2" type="noConversion"/>
  </si>
  <si>
    <t>粉葛紅蘿蔔赤小豆扁豆湯</t>
    <phoneticPr fontId="2" type="noConversion"/>
  </si>
  <si>
    <t>韓式炒冬粉</t>
    <phoneticPr fontId="2" type="noConversion"/>
  </si>
  <si>
    <t>韓式雜菜拌飯</t>
    <phoneticPr fontId="2" type="noConversion"/>
  </si>
  <si>
    <t>雞蛋多士棒</t>
    <phoneticPr fontId="2" type="noConversion"/>
  </si>
  <si>
    <t>日式冷麵</t>
    <phoneticPr fontId="2" type="noConversion"/>
  </si>
  <si>
    <t>芒果素鰻壽司</t>
    <phoneticPr fontId="2" type="noConversion"/>
  </si>
  <si>
    <t>越南米紙卷</t>
    <phoneticPr fontId="2" type="noConversion"/>
  </si>
  <si>
    <t>意大利青瓜薯仔煎餅配酸忌廉醬</t>
    <phoneticPr fontId="2" type="noConversion"/>
  </si>
  <si>
    <t>焗迷你pizza</t>
    <phoneticPr fontId="2" type="noConversion"/>
  </si>
  <si>
    <t>薯蓉焗雜菜</t>
    <phoneticPr fontId="2" type="noConversion"/>
  </si>
  <si>
    <t>白菌薯仔素肉批</t>
    <phoneticPr fontId="2" type="noConversion"/>
  </si>
  <si>
    <t>牛油果西多士</t>
    <phoneticPr fontId="2" type="noConversion"/>
  </si>
  <si>
    <t>薯仔沙律蛋包</t>
    <phoneticPr fontId="2" type="noConversion"/>
  </si>
  <si>
    <t>素羅宋湯</t>
    <phoneticPr fontId="2" type="noConversion"/>
  </si>
  <si>
    <t>焗葡汁白菌豆腐飯</t>
    <phoneticPr fontId="2" type="noConversion"/>
  </si>
  <si>
    <t>紫薯布甸</t>
    <phoneticPr fontId="2" type="noConversion"/>
  </si>
  <si>
    <t>椰青木瓜果凍</t>
    <phoneticPr fontId="2" type="noConversion"/>
  </si>
  <si>
    <t>金銀菜湯</t>
    <phoneticPr fontId="2" type="noConversion"/>
  </si>
  <si>
    <t>印度菜</t>
    <phoneticPr fontId="2" type="noConversion"/>
  </si>
  <si>
    <t>印尼菜</t>
    <phoneticPr fontId="2" type="noConversion"/>
  </si>
  <si>
    <t>越南菜</t>
    <phoneticPr fontId="2" type="noConversion"/>
  </si>
  <si>
    <t>輕食</t>
    <phoneticPr fontId="2" type="noConversion"/>
  </si>
  <si>
    <t>Light Meal</t>
    <phoneticPr fontId="2" type="noConversion"/>
  </si>
  <si>
    <t>正常</t>
    <phoneticPr fontId="2" type="noConversion"/>
  </si>
  <si>
    <t>Diet</t>
    <phoneticPr fontId="2" type="noConversion"/>
  </si>
  <si>
    <r>
      <rPr>
        <sz val="12"/>
        <color theme="1"/>
        <rFont val="細明體"/>
        <family val="2"/>
        <charset val="136"/>
      </rPr>
      <t>飲食方式</t>
    </r>
    <r>
      <rPr>
        <sz val="12"/>
        <color theme="1"/>
        <rFont val="Calibri"/>
        <family val="2"/>
      </rPr>
      <t xml:space="preserve"> </t>
    </r>
    <phoneticPr fontId="2" type="noConversion"/>
  </si>
  <si>
    <t>Season</t>
    <phoneticPr fontId="2" type="noConversion"/>
  </si>
  <si>
    <t>季節</t>
    <phoneticPr fontId="2" type="noConversion"/>
  </si>
  <si>
    <t>全年</t>
    <phoneticPr fontId="2" type="noConversion"/>
  </si>
  <si>
    <t>冬</t>
    <phoneticPr fontId="2" type="noConversion"/>
  </si>
  <si>
    <t>夏</t>
    <phoneticPr fontId="2" type="noConversion"/>
  </si>
  <si>
    <t>主要蛋白質</t>
    <phoneticPr fontId="2" type="noConversion"/>
  </si>
  <si>
    <t>角色</t>
    <phoneticPr fontId="2" type="noConversion"/>
  </si>
  <si>
    <t>牛大力土茯苓湯</t>
    <phoneticPr fontId="2" type="noConversion"/>
  </si>
  <si>
    <t>日式梳乎厘班戟</t>
    <phoneticPr fontId="2" type="noConversion"/>
  </si>
  <si>
    <t>Dish Role</t>
    <phoneticPr fontId="2" type="noConversion"/>
  </si>
  <si>
    <t>Main Protein</t>
    <phoneticPr fontId="2" type="noConversion"/>
  </si>
  <si>
    <t>D0001</t>
  </si>
  <si>
    <t>D0001</t>
    <phoneticPr fontId="2" type="noConversion"/>
  </si>
  <si>
    <t>D0002</t>
    <phoneticPr fontId="2" type="noConversion"/>
  </si>
  <si>
    <t>D0003</t>
  </si>
  <si>
    <t>D0004</t>
  </si>
  <si>
    <t>D0005</t>
  </si>
  <si>
    <t>D0006</t>
  </si>
  <si>
    <t>D0007</t>
  </si>
  <si>
    <t>D0008</t>
  </si>
  <si>
    <t>D0009</t>
  </si>
  <si>
    <t>D0010</t>
  </si>
  <si>
    <t>D0011</t>
  </si>
  <si>
    <t>D0012</t>
  </si>
  <si>
    <t>D0013</t>
  </si>
  <si>
    <t>D0014</t>
  </si>
  <si>
    <t>D0015</t>
  </si>
  <si>
    <t>D0016</t>
  </si>
  <si>
    <t>D0017</t>
  </si>
  <si>
    <t>D0018</t>
  </si>
  <si>
    <t>D0019</t>
  </si>
  <si>
    <t>D0020</t>
  </si>
  <si>
    <t>D0021</t>
  </si>
  <si>
    <t>D0022</t>
  </si>
  <si>
    <t>D0023</t>
  </si>
  <si>
    <t>D0024</t>
  </si>
  <si>
    <t>D0025</t>
  </si>
  <si>
    <t>D0026</t>
  </si>
  <si>
    <t>D0027</t>
  </si>
  <si>
    <t>D0028</t>
  </si>
  <si>
    <t>D0029</t>
  </si>
  <si>
    <t>D0030</t>
  </si>
  <si>
    <t>D0031</t>
  </si>
  <si>
    <t>D0032</t>
  </si>
  <si>
    <t>D0033</t>
  </si>
  <si>
    <t>D0034</t>
  </si>
  <si>
    <t>D0035</t>
  </si>
  <si>
    <t>D0036</t>
  </si>
  <si>
    <t>D0037</t>
  </si>
  <si>
    <t>D0038</t>
  </si>
  <si>
    <t>D0039</t>
  </si>
  <si>
    <t>D0040</t>
  </si>
  <si>
    <t>D0041</t>
  </si>
  <si>
    <t>D0042</t>
  </si>
  <si>
    <t>D0043</t>
  </si>
  <si>
    <t>D0044</t>
  </si>
  <si>
    <t>D0045</t>
  </si>
  <si>
    <t>D0046</t>
  </si>
  <si>
    <t>D0047</t>
  </si>
  <si>
    <t>D0048</t>
  </si>
  <si>
    <t>D0049</t>
  </si>
  <si>
    <t>D0050</t>
  </si>
  <si>
    <t>D0051</t>
  </si>
  <si>
    <t>D0052</t>
  </si>
  <si>
    <t>D0053</t>
  </si>
  <si>
    <t>D0054</t>
  </si>
  <si>
    <t>D0055</t>
  </si>
  <si>
    <t>D0056</t>
  </si>
  <si>
    <t>D0057</t>
  </si>
  <si>
    <t>D0058</t>
  </si>
  <si>
    <t>D0059</t>
  </si>
  <si>
    <t>D0060</t>
  </si>
  <si>
    <t>D0061</t>
  </si>
  <si>
    <t>D0062</t>
  </si>
  <si>
    <t>D0063</t>
  </si>
  <si>
    <t>D0064</t>
  </si>
  <si>
    <t>D0065</t>
  </si>
  <si>
    <t>D0066</t>
  </si>
  <si>
    <t>D0067</t>
  </si>
  <si>
    <t>D0068</t>
  </si>
  <si>
    <t>D0069</t>
  </si>
  <si>
    <t>D0070</t>
  </si>
  <si>
    <t>D0071</t>
  </si>
  <si>
    <t>D0072</t>
  </si>
  <si>
    <t>D0073</t>
  </si>
  <si>
    <t>D0074</t>
  </si>
  <si>
    <t>D0075</t>
  </si>
  <si>
    <t>D0076</t>
  </si>
  <si>
    <t>D0077</t>
  </si>
  <si>
    <t>D0078</t>
  </si>
  <si>
    <t>D0079</t>
  </si>
  <si>
    <t>D0080</t>
  </si>
  <si>
    <t>D0081</t>
  </si>
  <si>
    <t>D0082</t>
  </si>
  <si>
    <t>D0083</t>
  </si>
  <si>
    <t>D0084</t>
  </si>
  <si>
    <t>D0085</t>
  </si>
  <si>
    <t>D0086</t>
  </si>
  <si>
    <t>D0087</t>
  </si>
  <si>
    <t>D0088</t>
  </si>
  <si>
    <t>D0089</t>
  </si>
  <si>
    <t>D0090</t>
  </si>
  <si>
    <t>D0091</t>
  </si>
  <si>
    <t>D0092</t>
  </si>
  <si>
    <t>D0093</t>
  </si>
  <si>
    <t>D0094</t>
  </si>
  <si>
    <t>Filipino</t>
  </si>
  <si>
    <t>Bahasa</t>
  </si>
  <si>
    <r>
      <rPr>
        <sz val="12"/>
        <color theme="1"/>
        <rFont val="新細明體"/>
        <family val="1"/>
        <charset val="136"/>
      </rPr>
      <t>材料</t>
    </r>
  </si>
  <si>
    <r>
      <rPr>
        <sz val="12"/>
        <color theme="1"/>
        <rFont val="新細明體"/>
        <family val="1"/>
        <charset val="136"/>
      </rPr>
      <t>英文</t>
    </r>
  </si>
  <si>
    <r>
      <rPr>
        <sz val="12"/>
        <color theme="1"/>
        <rFont val="新細明體"/>
        <family val="1"/>
        <charset val="136"/>
      </rPr>
      <t>類別</t>
    </r>
  </si>
  <si>
    <r>
      <rPr>
        <sz val="12"/>
        <color theme="1"/>
        <rFont val="新細明體"/>
        <family val="1"/>
        <charset val="136"/>
      </rPr>
      <t>常用單位</t>
    </r>
  </si>
  <si>
    <t>雞蛋</t>
  </si>
  <si>
    <t>隻</t>
    <phoneticPr fontId="2" type="noConversion"/>
  </si>
  <si>
    <t>主菜</t>
    <phoneticPr fontId="2" type="noConversion"/>
  </si>
  <si>
    <t>豬肉</t>
    <phoneticPr fontId="2" type="noConversion"/>
  </si>
  <si>
    <t>蛋</t>
    <phoneticPr fontId="2" type="noConversion"/>
  </si>
  <si>
    <t>海鮮</t>
    <phoneticPr fontId="2" type="noConversion"/>
  </si>
  <si>
    <t>雞肉</t>
    <phoneticPr fontId="2" type="noConversion"/>
  </si>
  <si>
    <t>羊肉</t>
    <phoneticPr fontId="2" type="noConversion"/>
  </si>
  <si>
    <t>五花腩</t>
    <phoneticPr fontId="2" type="noConversion"/>
  </si>
  <si>
    <t>燕麥</t>
    <phoneticPr fontId="2" type="noConversion"/>
  </si>
  <si>
    <t>水</t>
  </si>
  <si>
    <t>水</t>
    <phoneticPr fontId="2" type="noConversion"/>
  </si>
  <si>
    <t xml:space="preserve"> - </t>
    <phoneticPr fontId="2" type="noConversion"/>
  </si>
  <si>
    <t>鹽</t>
  </si>
  <si>
    <t>鹽</t>
    <phoneticPr fontId="2" type="noConversion"/>
  </si>
  <si>
    <t>糖</t>
  </si>
  <si>
    <t>糖</t>
    <phoneticPr fontId="2" type="noConversion"/>
  </si>
  <si>
    <t>生粉</t>
  </si>
  <si>
    <t>生粉</t>
    <phoneticPr fontId="2" type="noConversion"/>
  </si>
  <si>
    <t>葱</t>
    <phoneticPr fontId="2" type="noConversion"/>
  </si>
  <si>
    <t>ML</t>
    <phoneticPr fontId="2" type="noConversion"/>
  </si>
  <si>
    <t>茶匙</t>
    <phoneticPr fontId="2" type="noConversion"/>
  </si>
  <si>
    <t>副菜</t>
    <phoneticPr fontId="2" type="noConversion"/>
  </si>
  <si>
    <t>甜品</t>
    <phoneticPr fontId="2" type="noConversion"/>
  </si>
  <si>
    <t>豆</t>
    <phoneticPr fontId="2" type="noConversion"/>
  </si>
  <si>
    <t>蔬菜</t>
    <phoneticPr fontId="2" type="noConversion"/>
  </si>
  <si>
    <t>奶</t>
    <phoneticPr fontId="2" type="noConversion"/>
  </si>
  <si>
    <t>牛肉</t>
    <phoneticPr fontId="2" type="noConversion"/>
  </si>
  <si>
    <t>木瓜</t>
    <phoneticPr fontId="2" type="noConversion"/>
  </si>
  <si>
    <t>椰漿</t>
  </si>
  <si>
    <t>椰漿</t>
    <phoneticPr fontId="2" type="noConversion"/>
  </si>
  <si>
    <t>椰青水</t>
  </si>
  <si>
    <t>椰青水</t>
    <phoneticPr fontId="2" type="noConversion"/>
  </si>
  <si>
    <t>大菜粉</t>
  </si>
  <si>
    <t>大菜粉</t>
    <phoneticPr fontId="2" type="noConversion"/>
  </si>
  <si>
    <r>
      <rPr>
        <b/>
        <sz val="12"/>
        <color theme="1"/>
        <rFont val="新細明體"/>
        <family val="1"/>
        <charset val="136"/>
      </rPr>
      <t>菜</t>
    </r>
    <r>
      <rPr>
        <b/>
        <sz val="12"/>
        <color theme="1"/>
        <rFont val="Calibri"/>
        <family val="2"/>
      </rPr>
      <t>ID</t>
    </r>
  </si>
  <si>
    <r>
      <rPr>
        <b/>
        <sz val="12"/>
        <color theme="1"/>
        <rFont val="新細明體"/>
        <family val="1"/>
        <charset val="136"/>
      </rPr>
      <t>類別</t>
    </r>
  </si>
  <si>
    <r>
      <rPr>
        <b/>
        <sz val="12"/>
        <color theme="1"/>
        <rFont val="新細明體"/>
        <family val="1"/>
        <charset val="136"/>
      </rPr>
      <t>材料</t>
    </r>
  </si>
  <si>
    <r>
      <rPr>
        <b/>
        <sz val="12"/>
        <color theme="1"/>
        <rFont val="新細明體"/>
        <family val="1"/>
        <charset val="136"/>
      </rPr>
      <t>份量</t>
    </r>
  </si>
  <si>
    <r>
      <rPr>
        <b/>
        <sz val="12"/>
        <color theme="1"/>
        <rFont val="新細明體"/>
        <family val="1"/>
        <charset val="136"/>
      </rPr>
      <t>單位</t>
    </r>
  </si>
  <si>
    <r>
      <rPr>
        <sz val="12"/>
        <color theme="1"/>
        <rFont val="新細明體"/>
        <family val="2"/>
        <charset val="136"/>
      </rPr>
      <t>食材</t>
    </r>
    <phoneticPr fontId="2" type="noConversion"/>
  </si>
  <si>
    <r>
      <rPr>
        <sz val="12"/>
        <color theme="1"/>
        <rFont val="新細明體"/>
        <family val="2"/>
        <charset val="136"/>
      </rPr>
      <t>五花腩</t>
    </r>
  </si>
  <si>
    <r>
      <rPr>
        <sz val="12"/>
        <color theme="1"/>
        <rFont val="新細明體"/>
        <family val="2"/>
        <charset val="136"/>
      </rPr>
      <t>兩</t>
    </r>
    <phoneticPr fontId="2" type="noConversion"/>
  </si>
  <si>
    <r>
      <rPr>
        <sz val="12"/>
        <color theme="1"/>
        <rFont val="新細明體"/>
        <family val="2"/>
        <charset val="136"/>
      </rPr>
      <t>燕麥</t>
    </r>
  </si>
  <si>
    <r>
      <rPr>
        <sz val="12"/>
        <color theme="1"/>
        <rFont val="新細明體"/>
        <family val="2"/>
        <charset val="136"/>
      </rPr>
      <t>匙</t>
    </r>
    <phoneticPr fontId="2" type="noConversion"/>
  </si>
  <si>
    <r>
      <rPr>
        <sz val="12"/>
        <color theme="1"/>
        <rFont val="新細明體"/>
        <family val="2"/>
        <charset val="136"/>
      </rPr>
      <t>水</t>
    </r>
  </si>
  <si>
    <r>
      <rPr>
        <sz val="12"/>
        <color theme="1"/>
        <rFont val="新細明體"/>
        <family val="2"/>
        <charset val="136"/>
      </rPr>
      <t>調味</t>
    </r>
    <phoneticPr fontId="2" type="noConversion"/>
  </si>
  <si>
    <r>
      <rPr>
        <sz val="12"/>
        <color theme="1"/>
        <rFont val="新細明體"/>
        <family val="2"/>
        <charset val="136"/>
      </rPr>
      <t>茶匙</t>
    </r>
    <phoneticPr fontId="2" type="noConversion"/>
  </si>
  <si>
    <r>
      <rPr>
        <sz val="12"/>
        <color theme="1"/>
        <rFont val="新細明體"/>
        <family val="2"/>
        <charset val="136"/>
      </rPr>
      <t>鹽</t>
    </r>
  </si>
  <si>
    <r>
      <rPr>
        <sz val="12"/>
        <color theme="1"/>
        <rFont val="新細明體"/>
        <family val="2"/>
        <charset val="136"/>
      </rPr>
      <t>糖</t>
    </r>
  </si>
  <si>
    <r>
      <rPr>
        <sz val="12"/>
        <color theme="1"/>
        <rFont val="新細明體"/>
        <family val="2"/>
        <charset val="136"/>
      </rPr>
      <t>生粉</t>
    </r>
  </si>
  <si>
    <r>
      <rPr>
        <sz val="12"/>
        <color theme="1"/>
        <rFont val="新細明體"/>
        <family val="2"/>
        <charset val="136"/>
      </rPr>
      <t>裝飾</t>
    </r>
    <phoneticPr fontId="2" type="noConversion"/>
  </si>
  <si>
    <r>
      <rPr>
        <sz val="12"/>
        <color theme="1"/>
        <rFont val="新細明體"/>
        <family val="2"/>
        <charset val="136"/>
      </rPr>
      <t>葱</t>
    </r>
  </si>
  <si>
    <r>
      <rPr>
        <sz val="12"/>
        <color theme="1"/>
        <rFont val="新細明體"/>
        <family val="2"/>
        <charset val="136"/>
      </rPr>
      <t>適量</t>
    </r>
    <phoneticPr fontId="2" type="noConversion"/>
  </si>
  <si>
    <r>
      <rPr>
        <sz val="12"/>
        <color theme="1"/>
        <rFont val="新細明體"/>
        <family val="2"/>
        <charset val="136"/>
      </rPr>
      <t>木瓜</t>
    </r>
  </si>
  <si>
    <r>
      <rPr>
        <sz val="12"/>
        <color theme="1"/>
        <rFont val="新細明體"/>
        <family val="2"/>
        <charset val="136"/>
      </rPr>
      <t>個</t>
    </r>
    <phoneticPr fontId="2" type="noConversion"/>
  </si>
  <si>
    <r>
      <rPr>
        <sz val="12"/>
        <color theme="1"/>
        <rFont val="新細明體"/>
        <family val="2"/>
        <charset val="136"/>
      </rPr>
      <t>椰漿</t>
    </r>
  </si>
  <si>
    <t>G</t>
    <phoneticPr fontId="2" type="noConversion"/>
  </si>
  <si>
    <r>
      <rPr>
        <b/>
        <sz val="12"/>
        <color theme="1"/>
        <rFont val="新細明體"/>
        <family val="1"/>
        <charset val="136"/>
      </rPr>
      <t>步驟</t>
    </r>
  </si>
  <si>
    <r>
      <rPr>
        <b/>
        <sz val="12"/>
        <color theme="1"/>
        <rFont val="新細明體"/>
        <family val="1"/>
        <charset val="136"/>
      </rPr>
      <t>內容</t>
    </r>
  </si>
  <si>
    <r>
      <rPr>
        <sz val="12"/>
        <color theme="1"/>
        <rFont val="新細明體"/>
        <family val="2"/>
        <charset val="136"/>
      </rPr>
      <t>將木瓜橫切一半</t>
    </r>
    <r>
      <rPr>
        <sz val="12"/>
        <color theme="1"/>
        <rFont val="Calibri"/>
        <family val="2"/>
      </rPr>
      <t xml:space="preserve">, </t>
    </r>
    <r>
      <rPr>
        <sz val="12"/>
        <color theme="1"/>
        <rFont val="新細明體"/>
        <family val="2"/>
        <charset val="136"/>
      </rPr>
      <t>挖去中間的籽</t>
    </r>
    <r>
      <rPr>
        <sz val="12"/>
        <color theme="1"/>
        <rFont val="Calibri"/>
        <family val="2"/>
      </rPr>
      <t xml:space="preserve">, </t>
    </r>
    <r>
      <rPr>
        <sz val="12"/>
        <color theme="1"/>
        <rFont val="新細明體"/>
        <family val="2"/>
        <charset val="136"/>
      </rPr>
      <t>做成木瓜盅</t>
    </r>
    <phoneticPr fontId="2" type="noConversion"/>
  </si>
  <si>
    <t>紫薯</t>
  </si>
  <si>
    <t>紫薯</t>
    <phoneticPr fontId="2" type="noConversion"/>
  </si>
  <si>
    <t>淡忌廉</t>
  </si>
  <si>
    <t>淡忌廉</t>
    <phoneticPr fontId="2" type="noConversion"/>
  </si>
  <si>
    <t>牛奶</t>
  </si>
  <si>
    <t>牛奶</t>
    <phoneticPr fontId="2" type="noConversion"/>
  </si>
  <si>
    <t>蒟蒻粉</t>
  </si>
  <si>
    <t>蒟蒻粉</t>
    <phoneticPr fontId="2" type="noConversion"/>
  </si>
  <si>
    <t>湯匙</t>
    <phoneticPr fontId="2" type="noConversion"/>
  </si>
  <si>
    <r>
      <rPr>
        <sz val="12"/>
        <color theme="1"/>
        <rFont val="細明體"/>
        <family val="2"/>
        <charset val="136"/>
      </rPr>
      <t>紫心薯蒸熟去皮</t>
    </r>
    <r>
      <rPr>
        <sz val="12"/>
        <color theme="1"/>
        <rFont val="Calibri"/>
        <family val="2"/>
      </rPr>
      <t>,</t>
    </r>
    <r>
      <rPr>
        <sz val="12"/>
        <color theme="1"/>
        <rFont val="細明體"/>
        <family val="2"/>
        <charset val="136"/>
      </rPr>
      <t>用刀壓成泥</t>
    </r>
    <phoneticPr fontId="2" type="noConversion"/>
  </si>
  <si>
    <r>
      <rPr>
        <sz val="12"/>
        <color theme="1"/>
        <rFont val="細明體"/>
        <family val="2"/>
        <charset val="136"/>
      </rPr>
      <t>餘下的牛奶和忌廉放入煲內用細火加熱</t>
    </r>
    <r>
      <rPr>
        <sz val="12"/>
        <color theme="1"/>
        <rFont val="Calibri"/>
        <family val="2"/>
      </rPr>
      <t>,</t>
    </r>
    <r>
      <rPr>
        <sz val="12"/>
        <color theme="1"/>
        <rFont val="細明體"/>
        <family val="2"/>
        <charset val="136"/>
      </rPr>
      <t>再加入糖和蒟蒻粉</t>
    </r>
    <r>
      <rPr>
        <sz val="12"/>
        <color theme="1"/>
        <rFont val="Calibri"/>
        <family val="2"/>
      </rPr>
      <t>,</t>
    </r>
    <r>
      <rPr>
        <sz val="12"/>
        <color theme="1"/>
        <rFont val="細明體"/>
        <family val="2"/>
        <charset val="136"/>
      </rPr>
      <t>慢慢攪拌直至完全溶化</t>
    </r>
    <phoneticPr fontId="2" type="noConversion"/>
  </si>
  <si>
    <t>布包豆腐</t>
  </si>
  <si>
    <t>布包豆腐</t>
    <phoneticPr fontId="2" type="noConversion"/>
  </si>
  <si>
    <t>白菌</t>
  </si>
  <si>
    <t>白菌</t>
    <phoneticPr fontId="2" type="noConversion"/>
  </si>
  <si>
    <t>咖喱粉</t>
  </si>
  <si>
    <t>咖喱粉</t>
    <phoneticPr fontId="2" type="noConversion"/>
  </si>
  <si>
    <t>黃薑粉</t>
  </si>
  <si>
    <t>黃薑粉</t>
    <phoneticPr fontId="2" type="noConversion"/>
  </si>
  <si>
    <t>上湯</t>
  </si>
  <si>
    <t>上湯</t>
    <phoneticPr fontId="2" type="noConversion"/>
  </si>
  <si>
    <t>白飯</t>
  </si>
  <si>
    <t>白飯</t>
    <phoneticPr fontId="2" type="noConversion"/>
  </si>
  <si>
    <t>芝士</t>
  </si>
  <si>
    <t>芝士</t>
    <phoneticPr fontId="2" type="noConversion"/>
  </si>
  <si>
    <t>牛油</t>
  </si>
  <si>
    <t>牛油</t>
    <phoneticPr fontId="2" type="noConversion"/>
  </si>
  <si>
    <t>忌廉</t>
  </si>
  <si>
    <t>忌廉</t>
    <phoneticPr fontId="2" type="noConversion"/>
  </si>
  <si>
    <t>蕃茄</t>
  </si>
  <si>
    <t>蕃茄</t>
    <phoneticPr fontId="2" type="noConversion"/>
  </si>
  <si>
    <t>薯仔</t>
  </si>
  <si>
    <t>薯仔</t>
    <phoneticPr fontId="2" type="noConversion"/>
  </si>
  <si>
    <t>紅蘿蔔</t>
  </si>
  <si>
    <t>紅蘿蔔</t>
    <phoneticPr fontId="2" type="noConversion"/>
  </si>
  <si>
    <t>棷菜</t>
  </si>
  <si>
    <t>蘑菇</t>
  </si>
  <si>
    <t>蘑菇</t>
    <phoneticPr fontId="2" type="noConversion"/>
  </si>
  <si>
    <t>胡椒粉</t>
  </si>
  <si>
    <t>胡椒粉</t>
    <phoneticPr fontId="2" type="noConversion"/>
  </si>
  <si>
    <t>蕃茄膏</t>
  </si>
  <si>
    <t>蕃茄膏</t>
    <phoneticPr fontId="2" type="noConversion"/>
  </si>
  <si>
    <t>條</t>
    <phoneticPr fontId="2" type="noConversion"/>
  </si>
  <si>
    <t>餐包</t>
  </si>
  <si>
    <t>餐包</t>
    <phoneticPr fontId="2" type="noConversion"/>
  </si>
  <si>
    <t>西蘭花</t>
  </si>
  <si>
    <t>西蘭花</t>
    <phoneticPr fontId="2" type="noConversion"/>
  </si>
  <si>
    <t>沙律醬</t>
  </si>
  <si>
    <t>沙律醬</t>
    <phoneticPr fontId="2" type="noConversion"/>
  </si>
  <si>
    <t>芥末</t>
  </si>
  <si>
    <t>芥末</t>
    <phoneticPr fontId="2" type="noConversion"/>
  </si>
  <si>
    <t>蜜糖</t>
  </si>
  <si>
    <t>蜜糖</t>
    <phoneticPr fontId="2" type="noConversion"/>
  </si>
  <si>
    <t>completed</t>
    <phoneticPr fontId="2" type="noConversion"/>
  </si>
  <si>
    <t>食材</t>
  </si>
  <si>
    <t>調味</t>
  </si>
  <si>
    <t>免治肉</t>
  </si>
  <si>
    <t>豆腐</t>
  </si>
  <si>
    <t>榨菜</t>
  </si>
  <si>
    <t>薑蓉</t>
  </si>
  <si>
    <t>蒜蓉</t>
  </si>
  <si>
    <t>蒜蓉</t>
    <phoneticPr fontId="2" type="noConversion"/>
  </si>
  <si>
    <t>豆豉</t>
  </si>
  <si>
    <t>黑胡椒</t>
  </si>
  <si>
    <t>辣豆瓣醬</t>
  </si>
  <si>
    <t>老抽</t>
  </si>
  <si>
    <t>麻油</t>
  </si>
  <si>
    <t>花椒油</t>
  </si>
  <si>
    <t>花椒油</t>
    <phoneticPr fontId="2" type="noConversion"/>
  </si>
  <si>
    <t>雞粉</t>
  </si>
  <si>
    <t>雞粉</t>
    <phoneticPr fontId="2" type="noConversion"/>
  </si>
  <si>
    <t>茄子</t>
  </si>
  <si>
    <t>葱</t>
  </si>
  <si>
    <t>椰菜</t>
    <phoneticPr fontId="2" type="noConversion"/>
  </si>
  <si>
    <t>g</t>
  </si>
  <si>
    <t>茶匙</t>
  </si>
  <si>
    <t>適量</t>
  </si>
  <si>
    <t xml:space="preserve"> - </t>
  </si>
  <si>
    <t>裝飾</t>
  </si>
  <si>
    <t>湯匙</t>
  </si>
  <si>
    <t>沸水焯豆腐 1 分鐘去味。</t>
  </si>
  <si>
    <r>
      <rPr>
        <sz val="12"/>
        <color theme="1"/>
        <rFont val="微軟正黑體"/>
        <family val="2"/>
        <charset val="136"/>
      </rPr>
      <t>盛起肉待用。留油，下花椒油、辣豆瓣醬</t>
    </r>
    <r>
      <rPr>
        <sz val="12"/>
        <color theme="1"/>
        <rFont val="Calibri"/>
        <family val="2"/>
      </rPr>
      <t xml:space="preserve"> ,</t>
    </r>
    <r>
      <rPr>
        <sz val="12"/>
        <color theme="1"/>
        <rFont val="微軟正黑體"/>
        <family val="2"/>
        <charset val="136"/>
      </rPr>
      <t>再落薑蓉、蒜蓉。</t>
    </r>
    <phoneticPr fontId="2" type="noConversion"/>
  </si>
  <si>
    <r>
      <rPr>
        <sz val="12"/>
        <color theme="1"/>
        <rFont val="細明體"/>
        <family val="2"/>
        <charset val="136"/>
      </rPr>
      <t>加入椰菜</t>
    </r>
    <r>
      <rPr>
        <sz val="12"/>
        <color theme="1"/>
        <rFont val="Calibri"/>
        <family val="2"/>
      </rPr>
      <t>,</t>
    </r>
    <r>
      <rPr>
        <sz val="12"/>
        <color theme="1"/>
        <rFont val="細明體"/>
        <family val="2"/>
        <charset val="136"/>
      </rPr>
      <t>蕃茄膏</t>
    </r>
    <r>
      <rPr>
        <sz val="12"/>
        <color theme="1"/>
        <rFont val="Calibri"/>
        <family val="2"/>
      </rPr>
      <t xml:space="preserve">, </t>
    </r>
    <r>
      <rPr>
        <sz val="12"/>
        <color theme="1"/>
        <rFont val="細明體"/>
        <family val="2"/>
        <charset val="136"/>
      </rPr>
      <t>上湯</t>
    </r>
    <r>
      <rPr>
        <sz val="12"/>
        <color theme="1"/>
        <rFont val="Calibri"/>
        <family val="2"/>
      </rPr>
      <t xml:space="preserve">, </t>
    </r>
    <r>
      <rPr>
        <sz val="12"/>
        <color theme="1"/>
        <rFont val="細明體"/>
        <family val="2"/>
        <charset val="136"/>
      </rPr>
      <t>以中火煮滾後改以小火煮</t>
    </r>
    <r>
      <rPr>
        <sz val="12"/>
        <color theme="1"/>
        <rFont val="Calibri"/>
        <family val="2"/>
      </rPr>
      <t>50</t>
    </r>
    <r>
      <rPr>
        <sz val="12"/>
        <color theme="1"/>
        <rFont val="細明體"/>
        <family val="2"/>
        <charset val="136"/>
      </rPr>
      <t>分鐘</t>
    </r>
    <r>
      <rPr>
        <sz val="12"/>
        <color theme="1"/>
        <rFont val="Calibri"/>
        <family val="2"/>
      </rPr>
      <t xml:space="preserve">, </t>
    </r>
    <r>
      <rPr>
        <sz val="12"/>
        <color theme="1"/>
        <rFont val="細明體"/>
        <family val="2"/>
        <charset val="136"/>
      </rPr>
      <t>煮後加入糖和胡椒粉即可</t>
    </r>
    <phoneticPr fontId="2" type="noConversion"/>
  </si>
  <si>
    <r>
      <rPr>
        <sz val="12"/>
        <color theme="1"/>
        <rFont val="細明體"/>
        <family val="2"/>
        <charset val="136"/>
      </rPr>
      <t>煮熟雞蛋後切碎</t>
    </r>
    <r>
      <rPr>
        <sz val="12"/>
        <color theme="1"/>
        <rFont val="Calibri"/>
        <family val="2"/>
      </rPr>
      <t xml:space="preserve">, </t>
    </r>
    <r>
      <rPr>
        <sz val="12"/>
        <color theme="1"/>
        <rFont val="細明體"/>
        <family val="2"/>
        <charset val="136"/>
      </rPr>
      <t>焯熟西蘭花</t>
    </r>
    <r>
      <rPr>
        <sz val="12"/>
        <color theme="1"/>
        <rFont val="Calibri"/>
        <family val="2"/>
      </rPr>
      <t>,</t>
    </r>
    <r>
      <rPr>
        <sz val="12"/>
        <color theme="1"/>
        <rFont val="細明體"/>
        <family val="2"/>
        <charset val="136"/>
      </rPr>
      <t>紅蘿蔔切碎</t>
    </r>
    <r>
      <rPr>
        <sz val="12"/>
        <color theme="1"/>
        <rFont val="Calibri"/>
        <family val="2"/>
      </rPr>
      <t xml:space="preserve">, </t>
    </r>
    <r>
      <rPr>
        <sz val="12"/>
        <color theme="1"/>
        <rFont val="細明體"/>
        <family val="2"/>
        <charset val="136"/>
      </rPr>
      <t>加少許鹽將醬料拌勻</t>
    </r>
    <phoneticPr fontId="2" type="noConversion"/>
  </si>
  <si>
    <r>
      <rPr>
        <sz val="12"/>
        <color theme="1"/>
        <rFont val="細明體"/>
        <family val="2"/>
        <charset val="136"/>
      </rPr>
      <t>薯仔去皮切薄片蒸熟</t>
    </r>
    <r>
      <rPr>
        <sz val="12"/>
        <color theme="1"/>
        <rFont val="Calibri"/>
        <family val="2"/>
      </rPr>
      <t xml:space="preserve">, </t>
    </r>
    <r>
      <rPr>
        <sz val="12"/>
        <color theme="1"/>
        <rFont val="細明體"/>
        <family val="2"/>
        <charset val="136"/>
      </rPr>
      <t>壓成蓉</t>
    </r>
    <r>
      <rPr>
        <sz val="12"/>
        <color theme="1"/>
        <rFont val="Calibri"/>
        <family val="2"/>
      </rPr>
      <t>,</t>
    </r>
    <r>
      <rPr>
        <sz val="12"/>
        <color theme="1"/>
        <rFont val="細明體"/>
        <family val="2"/>
        <charset val="136"/>
      </rPr>
      <t>放入雞蛋碎</t>
    </r>
    <r>
      <rPr>
        <sz val="12"/>
        <color theme="1"/>
        <rFont val="Calibri"/>
        <family val="2"/>
      </rPr>
      <t xml:space="preserve">, </t>
    </r>
    <r>
      <rPr>
        <sz val="12"/>
        <color theme="1"/>
        <rFont val="細明體"/>
        <family val="2"/>
        <charset val="136"/>
      </rPr>
      <t>西蘭花</t>
    </r>
    <r>
      <rPr>
        <sz val="12"/>
        <color theme="1"/>
        <rFont val="Calibri"/>
        <family val="2"/>
      </rPr>
      <t xml:space="preserve">, </t>
    </r>
    <r>
      <rPr>
        <sz val="12"/>
        <color theme="1"/>
        <rFont val="細明體"/>
        <family val="2"/>
        <charset val="136"/>
      </rPr>
      <t>紅蘿蔔及醬料</t>
    </r>
    <phoneticPr fontId="2" type="noConversion"/>
  </si>
  <si>
    <r>
      <rPr>
        <sz val="12"/>
        <color theme="1"/>
        <rFont val="細明體"/>
        <family val="2"/>
        <charset val="136"/>
      </rPr>
      <t>放入己切開的餐包內即成</t>
    </r>
    <phoneticPr fontId="2" type="noConversion"/>
  </si>
  <si>
    <r>
      <rPr>
        <sz val="12"/>
        <color theme="1"/>
        <rFont val="細明體"/>
        <family val="2"/>
        <charset val="136"/>
      </rPr>
      <t>把椰青水和椰漿</t>
    </r>
    <r>
      <rPr>
        <sz val="12"/>
        <color theme="1"/>
        <rFont val="Calibri"/>
        <family val="2"/>
      </rPr>
      <t xml:space="preserve">, </t>
    </r>
    <r>
      <rPr>
        <sz val="12"/>
        <color theme="1"/>
        <rFont val="細明體"/>
        <family val="2"/>
        <charset val="136"/>
      </rPr>
      <t>牛奶及糖攪勻</t>
    </r>
    <r>
      <rPr>
        <sz val="12"/>
        <color theme="1"/>
        <rFont val="Calibri"/>
        <family val="2"/>
      </rPr>
      <t>,</t>
    </r>
    <r>
      <rPr>
        <sz val="12"/>
        <color theme="1"/>
        <rFont val="細明體"/>
        <family val="2"/>
        <charset val="136"/>
      </rPr>
      <t>加入大菜粉</t>
    </r>
    <r>
      <rPr>
        <sz val="12"/>
        <color theme="1"/>
        <rFont val="Calibri"/>
        <family val="2"/>
      </rPr>
      <t xml:space="preserve">, </t>
    </r>
    <r>
      <rPr>
        <sz val="12"/>
        <color theme="1"/>
        <rFont val="細明體"/>
        <family val="2"/>
        <charset val="136"/>
      </rPr>
      <t>煮至糖溶化後放涼</t>
    </r>
    <phoneticPr fontId="2" type="noConversion"/>
  </si>
  <si>
    <r>
      <rPr>
        <sz val="12"/>
        <color theme="1"/>
        <rFont val="細明體"/>
        <family val="2"/>
        <charset val="136"/>
      </rPr>
      <t>倒入木瓜盅內</t>
    </r>
    <r>
      <rPr>
        <sz val="12"/>
        <color theme="1"/>
        <rFont val="Calibri"/>
        <family val="2"/>
      </rPr>
      <t xml:space="preserve">, </t>
    </r>
    <r>
      <rPr>
        <sz val="12"/>
        <color theme="1"/>
        <rFont val="細明體"/>
        <family val="2"/>
        <charset val="136"/>
      </rPr>
      <t>放入雪櫃冷藏至凝結</t>
    </r>
    <phoneticPr fontId="2" type="noConversion"/>
  </si>
  <si>
    <r>
      <rPr>
        <sz val="12"/>
        <color theme="1"/>
        <rFont val="細明體"/>
        <family val="2"/>
        <charset val="136"/>
      </rPr>
      <t>食時切成小塊即可</t>
    </r>
    <phoneticPr fontId="2" type="noConversion"/>
  </si>
  <si>
    <r>
      <rPr>
        <sz val="12"/>
        <color theme="1"/>
        <rFont val="細明體"/>
        <family val="2"/>
        <charset val="136"/>
      </rPr>
      <t>把</t>
    </r>
    <r>
      <rPr>
        <sz val="12"/>
        <color theme="1"/>
        <rFont val="Calibri"/>
        <family val="2"/>
      </rPr>
      <t>150ML</t>
    </r>
    <r>
      <rPr>
        <sz val="12"/>
        <color theme="1"/>
        <rFont val="細明體"/>
        <family val="2"/>
        <charset val="136"/>
      </rPr>
      <t>牛奶加入紫薯泥中</t>
    </r>
    <r>
      <rPr>
        <sz val="12"/>
        <color theme="1"/>
        <rFont val="Calibri"/>
        <family val="2"/>
      </rPr>
      <t>,</t>
    </r>
    <r>
      <rPr>
        <sz val="12"/>
        <color theme="1"/>
        <rFont val="細明體"/>
        <family val="2"/>
        <charset val="136"/>
      </rPr>
      <t>放入攪拌機攪勻</t>
    </r>
    <phoneticPr fontId="2" type="noConversion"/>
  </si>
  <si>
    <r>
      <rPr>
        <sz val="12"/>
        <color theme="1"/>
        <rFont val="細明體"/>
        <family val="2"/>
        <charset val="136"/>
      </rPr>
      <t>溶化後逐少倒進紫薯泥內</t>
    </r>
    <r>
      <rPr>
        <sz val="12"/>
        <color theme="1"/>
        <rFont val="Calibri"/>
        <family val="2"/>
      </rPr>
      <t>,</t>
    </r>
    <r>
      <rPr>
        <sz val="12"/>
        <color theme="1"/>
        <rFont val="細明體"/>
        <family val="2"/>
        <charset val="136"/>
      </rPr>
      <t>直至均勻</t>
    </r>
    <phoneticPr fontId="2" type="noConversion"/>
  </si>
  <si>
    <r>
      <rPr>
        <sz val="12"/>
        <color theme="1"/>
        <rFont val="細明體"/>
        <family val="2"/>
        <charset val="136"/>
      </rPr>
      <t>最後倒進布甸杯內</t>
    </r>
    <r>
      <rPr>
        <sz val="12"/>
        <color theme="1"/>
        <rFont val="Calibri"/>
        <family val="2"/>
      </rPr>
      <t>,</t>
    </r>
    <r>
      <rPr>
        <sz val="12"/>
        <color theme="1"/>
        <rFont val="細明體"/>
        <family val="2"/>
        <charset val="136"/>
      </rPr>
      <t>合上蓋子放在雪櫃裡冷藏至凝固即可</t>
    </r>
    <phoneticPr fontId="2" type="noConversion"/>
  </si>
  <si>
    <r>
      <rPr>
        <sz val="12"/>
        <color theme="1"/>
        <rFont val="細明體"/>
        <family val="2"/>
        <charset val="136"/>
      </rPr>
      <t>豆腐切方塊</t>
    </r>
    <r>
      <rPr>
        <sz val="12"/>
        <color theme="1"/>
        <rFont val="Calibri"/>
        <family val="2"/>
      </rPr>
      <t xml:space="preserve">, </t>
    </r>
    <r>
      <rPr>
        <sz val="12"/>
        <color theme="1"/>
        <rFont val="細明體"/>
        <family val="2"/>
        <charset val="136"/>
      </rPr>
      <t>炸至金黃色盛起備用</t>
    </r>
    <phoneticPr fontId="2" type="noConversion"/>
  </si>
  <si>
    <r>
      <rPr>
        <sz val="12"/>
        <color theme="1"/>
        <rFont val="細明體"/>
        <family val="2"/>
        <charset val="136"/>
      </rPr>
      <t>用中火燒熱鑊</t>
    </r>
    <r>
      <rPr>
        <sz val="12"/>
        <color theme="1"/>
        <rFont val="Calibri"/>
        <family val="2"/>
      </rPr>
      <t>,</t>
    </r>
    <r>
      <rPr>
        <sz val="12"/>
        <color theme="1"/>
        <rFont val="細明體"/>
        <family val="2"/>
        <charset val="136"/>
      </rPr>
      <t>下牛油</t>
    </r>
    <r>
      <rPr>
        <sz val="12"/>
        <color theme="1"/>
        <rFont val="Calibri"/>
        <family val="2"/>
      </rPr>
      <t xml:space="preserve">, </t>
    </r>
    <r>
      <rPr>
        <sz val="12"/>
        <color theme="1"/>
        <rFont val="細明體"/>
        <family val="2"/>
        <charset val="136"/>
      </rPr>
      <t>待溶後加黃薑粉和咖喱粉炒香</t>
    </r>
    <r>
      <rPr>
        <sz val="12"/>
        <color theme="1"/>
        <rFont val="Calibri"/>
        <family val="2"/>
      </rPr>
      <t>,</t>
    </r>
    <r>
      <rPr>
        <sz val="12"/>
        <color theme="1"/>
        <rFont val="細明體"/>
        <family val="2"/>
        <charset val="136"/>
      </rPr>
      <t>加入上湯</t>
    </r>
    <r>
      <rPr>
        <sz val="12"/>
        <color theme="1"/>
        <rFont val="Calibri"/>
        <family val="2"/>
      </rPr>
      <t>,</t>
    </r>
    <r>
      <rPr>
        <sz val="12"/>
        <color theme="1"/>
        <rFont val="細明體"/>
        <family val="2"/>
        <charset val="136"/>
      </rPr>
      <t>滾後加奶和忌廉</t>
    </r>
    <r>
      <rPr>
        <sz val="12"/>
        <color theme="1"/>
        <rFont val="Calibri"/>
        <family val="2"/>
      </rPr>
      <t>,</t>
    </r>
    <r>
      <rPr>
        <sz val="12"/>
        <color theme="1"/>
        <rFont val="細明體"/>
        <family val="2"/>
        <charset val="136"/>
      </rPr>
      <t>下鹽糖調味</t>
    </r>
    <phoneticPr fontId="2" type="noConversion"/>
  </si>
  <si>
    <r>
      <rPr>
        <sz val="12"/>
        <color theme="1"/>
        <rFont val="細明體"/>
        <family val="2"/>
        <charset val="136"/>
      </rPr>
      <t>最後加入豆腐</t>
    </r>
    <r>
      <rPr>
        <sz val="12"/>
        <color theme="1"/>
        <rFont val="Calibri"/>
        <family val="2"/>
      </rPr>
      <t>,</t>
    </r>
    <r>
      <rPr>
        <sz val="12"/>
        <color theme="1"/>
        <rFont val="細明體"/>
        <family val="2"/>
        <charset val="136"/>
      </rPr>
      <t>切片白菌及椰漿</t>
    </r>
    <r>
      <rPr>
        <sz val="12"/>
        <color theme="1"/>
        <rFont val="Calibri"/>
        <family val="2"/>
      </rPr>
      <t>,</t>
    </r>
    <r>
      <rPr>
        <sz val="12"/>
        <color theme="1"/>
        <rFont val="細明體"/>
        <family val="2"/>
        <charset val="136"/>
      </rPr>
      <t>再加芡汁煮濃稠一點</t>
    </r>
    <phoneticPr fontId="2" type="noConversion"/>
  </si>
  <si>
    <r>
      <rPr>
        <sz val="12"/>
        <color theme="1"/>
        <rFont val="細明體"/>
        <family val="2"/>
        <charset val="136"/>
      </rPr>
      <t>白飯放在焗碟上</t>
    </r>
    <r>
      <rPr>
        <sz val="12"/>
        <color theme="1"/>
        <rFont val="Calibri"/>
        <family val="2"/>
      </rPr>
      <t>,</t>
    </r>
    <r>
      <rPr>
        <sz val="12"/>
        <color theme="1"/>
        <rFont val="細明體"/>
        <family val="2"/>
        <charset val="136"/>
      </rPr>
      <t>再將煮好的豆腐淋在飯面</t>
    </r>
    <r>
      <rPr>
        <sz val="12"/>
        <color theme="1"/>
        <rFont val="Calibri"/>
        <family val="2"/>
      </rPr>
      <t>,</t>
    </r>
    <r>
      <rPr>
        <sz val="12"/>
        <color theme="1"/>
        <rFont val="細明體"/>
        <family val="2"/>
        <charset val="136"/>
      </rPr>
      <t>再灑點芝士</t>
    </r>
    <phoneticPr fontId="2" type="noConversion"/>
  </si>
  <si>
    <r>
      <rPr>
        <sz val="12"/>
        <color theme="1"/>
        <rFont val="細明體"/>
        <family val="2"/>
        <charset val="136"/>
      </rPr>
      <t>預熱焗爐二百度</t>
    </r>
    <r>
      <rPr>
        <sz val="12"/>
        <color theme="1"/>
        <rFont val="Calibri"/>
        <family val="2"/>
      </rPr>
      <t>,</t>
    </r>
    <r>
      <rPr>
        <sz val="12"/>
        <color theme="1"/>
        <rFont val="細明體"/>
        <family val="2"/>
        <charset val="136"/>
      </rPr>
      <t>焗約</t>
    </r>
    <r>
      <rPr>
        <sz val="12"/>
        <color theme="1"/>
        <rFont val="Calibri"/>
        <family val="2"/>
      </rPr>
      <t>5-8</t>
    </r>
    <r>
      <rPr>
        <sz val="12"/>
        <color theme="1"/>
        <rFont val="細明體"/>
        <family val="2"/>
        <charset val="136"/>
      </rPr>
      <t>分鐘即成</t>
    </r>
    <phoneticPr fontId="2" type="noConversion"/>
  </si>
  <si>
    <r>
      <rPr>
        <sz val="12"/>
        <color theme="1"/>
        <rFont val="細明體"/>
        <family val="2"/>
        <charset val="136"/>
      </rPr>
      <t>煮沸水後</t>
    </r>
    <r>
      <rPr>
        <sz val="12"/>
        <color theme="1"/>
        <rFont val="Calibri"/>
        <family val="2"/>
      </rPr>
      <t xml:space="preserve">, </t>
    </r>
    <r>
      <rPr>
        <sz val="12"/>
        <color theme="1"/>
        <rFont val="細明體"/>
        <family val="2"/>
        <charset val="136"/>
      </rPr>
      <t>放入切粒薯仔</t>
    </r>
    <r>
      <rPr>
        <sz val="12"/>
        <color theme="1"/>
        <rFont val="Calibri"/>
        <family val="2"/>
      </rPr>
      <t>,</t>
    </r>
    <r>
      <rPr>
        <sz val="12"/>
        <color theme="1"/>
        <rFont val="細明體"/>
        <family val="2"/>
        <charset val="136"/>
      </rPr>
      <t>切粒紅蘿蔔</t>
    </r>
    <r>
      <rPr>
        <sz val="12"/>
        <color theme="1"/>
        <rFont val="Calibri"/>
        <family val="2"/>
      </rPr>
      <t>,</t>
    </r>
    <r>
      <rPr>
        <sz val="12"/>
        <color theme="1"/>
        <rFont val="細明體"/>
        <family val="2"/>
        <charset val="136"/>
      </rPr>
      <t>去皮切粒蕃茄</t>
    </r>
    <r>
      <rPr>
        <sz val="12"/>
        <color theme="1"/>
        <rFont val="Calibri"/>
        <family val="2"/>
      </rPr>
      <t>,</t>
    </r>
    <r>
      <rPr>
        <sz val="12"/>
        <color theme="1"/>
        <rFont val="細明體"/>
        <family val="2"/>
        <charset val="136"/>
      </rPr>
      <t>中火熬煮</t>
    </r>
    <phoneticPr fontId="2" type="noConversion"/>
  </si>
  <si>
    <r>
      <rPr>
        <sz val="12"/>
        <color theme="1"/>
        <rFont val="細明體"/>
        <family val="2"/>
        <charset val="136"/>
      </rPr>
      <t>用平底鍋煮溶牛油</t>
    </r>
    <r>
      <rPr>
        <sz val="12"/>
        <color theme="1"/>
        <rFont val="Calibri"/>
        <family val="2"/>
      </rPr>
      <t>,</t>
    </r>
    <r>
      <rPr>
        <sz val="12"/>
        <color theme="1"/>
        <rFont val="細明體"/>
        <family val="2"/>
        <charset val="136"/>
      </rPr>
      <t>放入切薄片蘑菇炒熟</t>
    </r>
    <phoneticPr fontId="2" type="noConversion"/>
  </si>
  <si>
    <r>
      <rPr>
        <sz val="12"/>
        <color theme="1"/>
        <rFont val="細明體"/>
        <family val="2"/>
        <charset val="136"/>
      </rPr>
      <t>把炒熟的蘑菇放入湯鍋裡</t>
    </r>
    <phoneticPr fontId="2" type="noConversion"/>
  </si>
  <si>
    <r>
      <rPr>
        <sz val="12"/>
        <color theme="1"/>
        <rFont val="微軟正黑體"/>
        <family val="2"/>
        <charset val="136"/>
      </rPr>
      <t>下老抽，放入豆腐，小火煮</t>
    </r>
    <r>
      <rPr>
        <sz val="12"/>
        <color theme="1"/>
        <rFont val="Calibri"/>
        <family val="2"/>
      </rPr>
      <t xml:space="preserve"> 3 </t>
    </r>
    <r>
      <rPr>
        <sz val="12"/>
        <color theme="1"/>
        <rFont val="微軟正黑體"/>
        <family val="2"/>
        <charset val="136"/>
      </rPr>
      <t>分鐘。</t>
    </r>
    <phoneticPr fontId="2" type="noConversion"/>
  </si>
  <si>
    <r>
      <rPr>
        <sz val="12"/>
        <color theme="1"/>
        <rFont val="微軟正黑體"/>
        <family val="2"/>
        <charset val="136"/>
      </rPr>
      <t>下生粉水，加葱花煮</t>
    </r>
    <r>
      <rPr>
        <sz val="12"/>
        <color theme="1"/>
        <rFont val="Calibri"/>
        <family val="2"/>
      </rPr>
      <t xml:space="preserve"> 30 </t>
    </r>
    <r>
      <rPr>
        <sz val="12"/>
        <color theme="1"/>
        <rFont val="微軟正黑體"/>
        <family val="2"/>
        <charset val="136"/>
      </rPr>
      <t>秒及麻油半茶匙。</t>
    </r>
    <phoneticPr fontId="2" type="noConversion"/>
  </si>
  <si>
    <t>茄子</t>
    <phoneticPr fontId="2" type="noConversion"/>
  </si>
  <si>
    <r>
      <rPr>
        <sz val="12"/>
        <color theme="1"/>
        <rFont val="細明體"/>
        <family val="2"/>
        <charset val="136"/>
      </rPr>
      <t>湯匙</t>
    </r>
    <phoneticPr fontId="2" type="noConversion"/>
  </si>
  <si>
    <r>
      <rPr>
        <sz val="12"/>
        <color theme="1"/>
        <rFont val="細明體"/>
        <family val="2"/>
        <charset val="136"/>
      </rPr>
      <t>件</t>
    </r>
    <phoneticPr fontId="2" type="noConversion"/>
  </si>
  <si>
    <r>
      <rPr>
        <sz val="12"/>
        <color theme="1"/>
        <rFont val="細明體"/>
        <family val="2"/>
        <charset val="136"/>
      </rPr>
      <t>杯</t>
    </r>
    <phoneticPr fontId="2" type="noConversion"/>
  </si>
  <si>
    <r>
      <rPr>
        <sz val="12"/>
        <color theme="1"/>
        <rFont val="細明體"/>
        <family val="2"/>
        <charset val="136"/>
      </rPr>
      <t>茶匙</t>
    </r>
    <phoneticPr fontId="2" type="noConversion"/>
  </si>
  <si>
    <r>
      <rPr>
        <sz val="12"/>
        <color theme="1"/>
        <rFont val="細明體"/>
        <family val="2"/>
        <charset val="136"/>
      </rPr>
      <t>少許</t>
    </r>
    <phoneticPr fontId="2" type="noConversion"/>
  </si>
  <si>
    <r>
      <rPr>
        <sz val="12"/>
        <color theme="1"/>
        <rFont val="細明體"/>
        <family val="2"/>
        <charset val="136"/>
      </rPr>
      <t>芡汁</t>
    </r>
    <phoneticPr fontId="2" type="noConversion"/>
  </si>
  <si>
    <r>
      <rPr>
        <sz val="12"/>
        <color theme="1"/>
        <rFont val="細明體"/>
        <family val="2"/>
        <charset val="136"/>
      </rPr>
      <t>個</t>
    </r>
    <phoneticPr fontId="2" type="noConversion"/>
  </si>
  <si>
    <r>
      <rPr>
        <sz val="12"/>
        <color theme="1"/>
        <rFont val="細明體"/>
        <family val="2"/>
        <charset val="136"/>
      </rPr>
      <t>條</t>
    </r>
    <phoneticPr fontId="2" type="noConversion"/>
  </si>
  <si>
    <r>
      <rPr>
        <sz val="12"/>
        <color theme="1"/>
        <rFont val="細明體"/>
        <family val="2"/>
        <charset val="136"/>
      </rPr>
      <t>碗</t>
    </r>
    <phoneticPr fontId="2" type="noConversion"/>
  </si>
  <si>
    <r>
      <rPr>
        <sz val="12"/>
        <color theme="1"/>
        <rFont val="細明體"/>
        <family val="2"/>
        <charset val="136"/>
      </rPr>
      <t>隻</t>
    </r>
    <phoneticPr fontId="2" type="noConversion"/>
  </si>
  <si>
    <r>
      <rPr>
        <sz val="12"/>
        <color theme="1"/>
        <rFont val="細明體"/>
        <family val="2"/>
        <charset val="136"/>
      </rPr>
      <t>醬料</t>
    </r>
    <phoneticPr fontId="2" type="noConversion"/>
  </si>
  <si>
    <r>
      <rPr>
        <sz val="12"/>
        <color theme="1"/>
        <rFont val="新細明體"/>
        <family val="2"/>
        <charset val="136"/>
      </rPr>
      <t>磚</t>
    </r>
  </si>
  <si>
    <r>
      <rPr>
        <sz val="12"/>
        <color theme="1"/>
        <rFont val="微軟正黑體"/>
        <family val="2"/>
        <charset val="136"/>
      </rPr>
      <t>裝飾</t>
    </r>
    <phoneticPr fontId="2" type="noConversion"/>
  </si>
  <si>
    <r>
      <rPr>
        <sz val="12"/>
        <color theme="1"/>
        <rFont val="新細明體"/>
        <family val="2"/>
        <charset val="136"/>
      </rPr>
      <t>茶匙</t>
    </r>
  </si>
  <si>
    <r>
      <rPr>
        <sz val="12"/>
        <color theme="1"/>
        <rFont val="新細明體"/>
        <family val="2"/>
        <charset val="136"/>
      </rPr>
      <t>杯</t>
    </r>
  </si>
  <si>
    <r>
      <rPr>
        <sz val="12"/>
        <color theme="1"/>
        <rFont val="新細明體"/>
        <family val="2"/>
        <charset val="136"/>
      </rPr>
      <t>適量</t>
    </r>
  </si>
  <si>
    <t>燒熱油，倒入蒜頭碎中拌勻，再鋪在茄子上。</t>
  </si>
  <si>
    <t>水滾後大火蒸 10 分鐘。</t>
  </si>
  <si>
    <t>葱花放上，加鼓油，倒入熱油即成。</t>
  </si>
  <si>
    <r>
      <rPr>
        <sz val="12"/>
        <color theme="1"/>
        <rFont val="微軟正黑體"/>
        <family val="2"/>
        <charset val="136"/>
      </rPr>
      <t>蒜頭碎內加糖</t>
    </r>
    <r>
      <rPr>
        <sz val="12"/>
        <color theme="1"/>
        <rFont val="Calibri"/>
        <family val="2"/>
      </rPr>
      <t xml:space="preserve">, </t>
    </r>
    <r>
      <rPr>
        <sz val="12"/>
        <color theme="1"/>
        <rFont val="微軟正黑體"/>
        <family val="2"/>
        <charset val="136"/>
      </rPr>
      <t>生粉</t>
    </r>
    <r>
      <rPr>
        <sz val="12"/>
        <color theme="1"/>
        <rFont val="Calibri"/>
        <family val="2"/>
      </rPr>
      <t xml:space="preserve">, </t>
    </r>
    <r>
      <rPr>
        <sz val="12"/>
        <color theme="1"/>
        <rFont val="微軟正黑體"/>
        <family val="2"/>
        <charset val="136"/>
      </rPr>
      <t>雞粉，混和。</t>
    </r>
    <phoneticPr fontId="2" type="noConversion"/>
  </si>
  <si>
    <t>皮蛋</t>
  </si>
  <si>
    <t>皮蛋</t>
    <phoneticPr fontId="2" type="noConversion"/>
  </si>
  <si>
    <t>咸蛋</t>
  </si>
  <si>
    <t>咸蛋</t>
    <phoneticPr fontId="2" type="noConversion"/>
  </si>
  <si>
    <t>菠菜</t>
  </si>
  <si>
    <t>菠菜</t>
    <phoneticPr fontId="2" type="noConversion"/>
  </si>
  <si>
    <t>蒜頭</t>
  </si>
  <si>
    <t>蒜頭</t>
    <phoneticPr fontId="2" type="noConversion"/>
  </si>
  <si>
    <t>斤</t>
    <phoneticPr fontId="2" type="noConversion"/>
  </si>
  <si>
    <t>粒</t>
    <phoneticPr fontId="2" type="noConversion"/>
  </si>
  <si>
    <t>咸蛋白、黃分開；皮蛋去殼，切細塊。</t>
    <phoneticPr fontId="2" type="noConversion"/>
  </si>
  <si>
    <r>
      <rPr>
        <sz val="12"/>
        <color theme="1"/>
        <rFont val="微軟正黑體"/>
        <family val="2"/>
        <charset val="136"/>
      </rPr>
      <t>落油</t>
    </r>
    <r>
      <rPr>
        <sz val="12"/>
        <color theme="1"/>
        <rFont val="Calibri"/>
        <family val="2"/>
      </rPr>
      <t>,</t>
    </r>
    <r>
      <rPr>
        <sz val="12"/>
        <color theme="1"/>
        <rFont val="微軟正黑體"/>
        <family val="2"/>
        <charset val="136"/>
      </rPr>
      <t>原隻蒜頭炒香</t>
    </r>
    <r>
      <rPr>
        <sz val="12"/>
        <color theme="1"/>
        <rFont val="Calibri"/>
        <family val="2"/>
      </rPr>
      <t xml:space="preserve">,1 </t>
    </r>
    <r>
      <rPr>
        <sz val="12"/>
        <color theme="1"/>
        <rFont val="細明體"/>
        <family val="2"/>
        <charset val="136"/>
      </rPr>
      <t>分鐘後</t>
    </r>
    <r>
      <rPr>
        <sz val="12"/>
        <color theme="1"/>
        <rFont val="微軟正黑體"/>
        <family val="2"/>
        <charset val="136"/>
      </rPr>
      <t>，落菠菜快炒，倒些少雞湯，盛起菠菜。</t>
    </r>
    <phoneticPr fontId="2" type="noConversion"/>
  </si>
  <si>
    <t>桶蠔</t>
  </si>
  <si>
    <t>桶蠔</t>
    <phoneticPr fontId="2" type="noConversion"/>
  </si>
  <si>
    <t>薑</t>
  </si>
  <si>
    <t>薑</t>
    <phoneticPr fontId="2" type="noConversion"/>
  </si>
  <si>
    <t>蠔油</t>
  </si>
  <si>
    <t>蠔油</t>
    <phoneticPr fontId="2" type="noConversion"/>
  </si>
  <si>
    <t>紹興酒</t>
  </si>
  <si>
    <t>紹興酒</t>
    <phoneticPr fontId="2" type="noConversion"/>
  </si>
  <si>
    <t>桶</t>
    <phoneticPr fontId="2" type="noConversion"/>
  </si>
  <si>
    <t>片</t>
    <phoneticPr fontId="2" type="noConversion"/>
  </si>
  <si>
    <t>葱切段（葱白跟葱綠色部份分開），薑切片備用。</t>
    <phoneticPr fontId="2" type="noConversion"/>
  </si>
  <si>
    <t>雞翼</t>
  </si>
  <si>
    <t>雞翼</t>
    <phoneticPr fontId="2" type="noConversion"/>
  </si>
  <si>
    <t>黑芝麻</t>
  </si>
  <si>
    <t>黑芝麻</t>
    <phoneticPr fontId="2" type="noConversion"/>
  </si>
  <si>
    <t>蒜鹽</t>
  </si>
  <si>
    <t>蒜鹽</t>
    <phoneticPr fontId="2" type="noConversion"/>
  </si>
  <si>
    <t>孜然粉</t>
  </si>
  <si>
    <t>孜然粉</t>
    <phoneticPr fontId="2" type="noConversion"/>
  </si>
  <si>
    <t>五香粉</t>
  </si>
  <si>
    <t>五香粉</t>
    <phoneticPr fontId="2" type="noConversion"/>
  </si>
  <si>
    <t>生抽</t>
  </si>
  <si>
    <t>生抽</t>
    <phoneticPr fontId="2" type="noConversion"/>
  </si>
  <si>
    <t>磅</t>
    <phoneticPr fontId="2" type="noConversion"/>
  </si>
  <si>
    <t>洗淨雞翼, 抺乾, 加調味料醃幾小時</t>
    <phoneticPr fontId="2" type="noConversion"/>
  </si>
  <si>
    <t>將雞翼排放在氣炸鍋籃中，表面噴少許油。</t>
  </si>
  <si>
    <t>打開氣炸鍋將雞翼翻面</t>
    <phoneticPr fontId="2" type="noConversion"/>
  </si>
  <si>
    <r>
      <rPr>
        <sz val="12"/>
        <color theme="1"/>
        <rFont val="細明體"/>
        <family val="3"/>
        <charset val="136"/>
      </rPr>
      <t>中火熱鑊，下油炒肉</t>
    </r>
    <r>
      <rPr>
        <sz val="12"/>
        <color theme="1"/>
        <rFont val="Calibri"/>
        <family val="2"/>
      </rPr>
      <t xml:space="preserve"> 1 </t>
    </r>
    <r>
      <rPr>
        <sz val="12"/>
        <color theme="1"/>
        <rFont val="細明體"/>
        <family val="3"/>
        <charset val="136"/>
      </rPr>
      <t>分鐘，加黑胡椒。</t>
    </r>
    <phoneticPr fontId="2" type="noConversion"/>
  </si>
  <si>
    <r>
      <rPr>
        <sz val="12"/>
        <color theme="1"/>
        <rFont val="細明體"/>
        <family val="3"/>
        <charset val="136"/>
      </rPr>
      <t>下豆豉，加肉及榨菜略炒。</t>
    </r>
    <phoneticPr fontId="2" type="noConversion"/>
  </si>
  <si>
    <r>
      <rPr>
        <sz val="12"/>
        <color theme="1"/>
        <rFont val="細明體"/>
        <family val="3"/>
        <charset val="136"/>
      </rPr>
      <t>加上湯。</t>
    </r>
    <phoneticPr fontId="2" type="noConversion"/>
  </si>
  <si>
    <r>
      <rPr>
        <sz val="12"/>
        <color theme="1"/>
        <rFont val="微軟正黑體"/>
        <family val="2"/>
        <charset val="136"/>
      </rPr>
      <t>切開洗淨茄子，鋪好在碟上。</t>
    </r>
    <phoneticPr fontId="2" type="noConversion"/>
  </si>
  <si>
    <r>
      <rPr>
        <sz val="12"/>
        <color theme="1"/>
        <rFont val="微軟正黑體"/>
        <family val="2"/>
        <charset val="136"/>
      </rPr>
      <t>清鑊煮滾，落雞湯，先落咸蛋黃及皮蛋煮</t>
    </r>
    <r>
      <rPr>
        <sz val="12"/>
        <color theme="1"/>
        <rFont val="Calibri"/>
        <family val="2"/>
      </rPr>
      <t xml:space="preserve"> 2 </t>
    </r>
    <r>
      <rPr>
        <sz val="12"/>
        <color theme="1"/>
        <rFont val="微軟正黑體"/>
        <family val="2"/>
        <charset val="136"/>
      </rPr>
      <t>分鐘，加咸蛋白打散成蛋花</t>
    </r>
    <r>
      <rPr>
        <sz val="12"/>
        <color theme="1"/>
        <rFont val="Calibri"/>
        <family val="2"/>
      </rPr>
      <t xml:space="preserve">. </t>
    </r>
    <r>
      <rPr>
        <sz val="12"/>
        <color theme="1"/>
        <rFont val="細明體"/>
        <family val="2"/>
        <charset val="136"/>
      </rPr>
      <t>倒入菠菜</t>
    </r>
    <r>
      <rPr>
        <sz val="12"/>
        <color theme="1"/>
        <rFont val="Calibri"/>
        <family val="2"/>
      </rPr>
      <t xml:space="preserve">, </t>
    </r>
    <r>
      <rPr>
        <sz val="12"/>
        <color theme="1"/>
        <rFont val="細明體"/>
        <family val="2"/>
        <charset val="136"/>
      </rPr>
      <t>連湯盛起</t>
    </r>
    <phoneticPr fontId="2" type="noConversion"/>
  </si>
  <si>
    <r>
      <t>表面再撒上一層孜然粉與黑/</t>
    </r>
    <r>
      <rPr>
        <sz val="12"/>
        <color theme="1"/>
        <rFont val="新細明體"/>
        <family val="3"/>
        <charset val="136"/>
      </rPr>
      <t>白芝麻</t>
    </r>
    <r>
      <rPr>
        <sz val="12"/>
        <color theme="1"/>
        <rFont val="Calibri"/>
        <family val="2"/>
      </rPr>
      <t xml:space="preserve">, </t>
    </r>
    <r>
      <rPr>
        <sz val="12"/>
        <color theme="1"/>
        <rFont val="新細明體"/>
        <family val="3"/>
        <charset val="136"/>
      </rPr>
      <t>再以</t>
    </r>
    <r>
      <rPr>
        <sz val="12"/>
        <color theme="1"/>
        <rFont val="Calibri"/>
        <family val="2"/>
      </rPr>
      <t xml:space="preserve"> 180°C</t>
    </r>
    <r>
      <rPr>
        <sz val="12"/>
        <color theme="1"/>
        <rFont val="新細明體"/>
        <family val="3"/>
        <charset val="136"/>
      </rPr>
      <t>（或調高至</t>
    </r>
    <r>
      <rPr>
        <sz val="12"/>
        <color theme="1"/>
        <rFont val="Calibri"/>
        <family val="2"/>
      </rPr>
      <t xml:space="preserve"> 200°C </t>
    </r>
    <r>
      <rPr>
        <sz val="12"/>
        <color theme="1"/>
        <rFont val="新細明體"/>
        <family val="3"/>
        <charset val="136"/>
      </rPr>
      <t>逼出油脂）多氣炸</t>
    </r>
    <r>
      <rPr>
        <sz val="12"/>
        <color theme="1"/>
        <rFont val="Calibri"/>
        <family val="2"/>
      </rPr>
      <t xml:space="preserve"> 3 </t>
    </r>
    <r>
      <rPr>
        <sz val="12"/>
        <color theme="1"/>
        <rFont val="新細明體"/>
        <family val="3"/>
        <charset val="136"/>
      </rPr>
      <t>至</t>
    </r>
    <r>
      <rPr>
        <sz val="12"/>
        <color theme="1"/>
        <rFont val="Calibri"/>
        <family val="2"/>
      </rPr>
      <t xml:space="preserve"> 5 </t>
    </r>
    <r>
      <rPr>
        <sz val="12"/>
        <color theme="1"/>
        <rFont val="新細明體"/>
        <family val="3"/>
        <charset val="136"/>
      </rPr>
      <t>分鐘，至雞皮金黃香脆即可出鍋</t>
    </r>
  </si>
  <si>
    <r>
      <rPr>
        <sz val="12"/>
        <color theme="1"/>
        <rFont val="細明體"/>
        <family val="3"/>
        <charset val="136"/>
      </rPr>
      <t>以</t>
    </r>
    <r>
      <rPr>
        <sz val="12"/>
        <color theme="1"/>
        <rFont val="Calibri"/>
        <family val="2"/>
      </rPr>
      <t xml:space="preserve"> 180°C </t>
    </r>
    <r>
      <rPr>
        <sz val="12"/>
        <color theme="1"/>
        <rFont val="細明體"/>
        <family val="3"/>
        <charset val="136"/>
      </rPr>
      <t>氣炸約</t>
    </r>
    <r>
      <rPr>
        <sz val="12"/>
        <color theme="1"/>
        <rFont val="Calibri"/>
        <family val="2"/>
      </rPr>
      <t xml:space="preserve"> 10 </t>
    </r>
    <r>
      <rPr>
        <sz val="12"/>
        <color theme="1"/>
        <rFont val="細明體"/>
        <family val="3"/>
        <charset val="136"/>
      </rPr>
      <t>分鐘</t>
    </r>
    <phoneticPr fontId="2" type="noConversion"/>
  </si>
  <si>
    <r>
      <rPr>
        <sz val="12"/>
        <color theme="1"/>
        <rFont val="微軟正黑體"/>
        <family val="2"/>
        <charset val="136"/>
      </rPr>
      <t>蠔用</t>
    </r>
    <r>
      <rPr>
        <sz val="12"/>
        <color theme="1"/>
        <rFont val="Calibri"/>
        <family val="2"/>
      </rPr>
      <t>2</t>
    </r>
    <r>
      <rPr>
        <sz val="12"/>
        <color theme="1"/>
        <rFont val="細明體"/>
        <family val="2"/>
        <charset val="136"/>
      </rPr>
      <t>湯匙</t>
    </r>
    <r>
      <rPr>
        <sz val="12"/>
        <color theme="1"/>
        <rFont val="微軟正黑體"/>
        <family val="2"/>
        <charset val="136"/>
      </rPr>
      <t>生粉「拿拿」，用水</t>
    </r>
    <r>
      <rPr>
        <sz val="12"/>
        <color theme="1"/>
        <rFont val="Calibri"/>
        <family val="2"/>
      </rPr>
      <t>(</t>
    </r>
    <r>
      <rPr>
        <sz val="12"/>
        <color theme="1"/>
        <rFont val="細明體"/>
        <family val="2"/>
        <charset val="136"/>
      </rPr>
      <t>輕力</t>
    </r>
    <r>
      <rPr>
        <sz val="12"/>
        <color theme="1"/>
        <rFont val="Calibri"/>
        <family val="2"/>
      </rPr>
      <t>)</t>
    </r>
    <r>
      <rPr>
        <sz val="12"/>
        <color theme="1"/>
        <rFont val="微軟正黑體"/>
        <family val="2"/>
        <charset val="136"/>
      </rPr>
      <t>沖至不再混濁。吸乾水</t>
    </r>
    <r>
      <rPr>
        <sz val="12"/>
        <color theme="1"/>
        <rFont val="Calibri"/>
        <family val="2"/>
      </rPr>
      <t xml:space="preserve">. </t>
    </r>
    <r>
      <rPr>
        <sz val="12"/>
        <color theme="1"/>
        <rFont val="微軟正黑體"/>
        <family val="2"/>
        <charset val="136"/>
      </rPr>
      <t>用手輕抹去表面潺</t>
    </r>
    <phoneticPr fontId="2" type="noConversion"/>
  </si>
  <si>
    <r>
      <rPr>
        <sz val="12"/>
        <color theme="1"/>
        <rFont val="微軟正黑體"/>
        <family val="2"/>
        <charset val="136"/>
      </rPr>
      <t>滾水後放些少薑片，加入蠔汆</t>
    </r>
    <r>
      <rPr>
        <sz val="12"/>
        <color theme="1"/>
        <rFont val="Calibri"/>
        <family val="2"/>
      </rPr>
      <t xml:space="preserve"> 1 </t>
    </r>
    <r>
      <rPr>
        <sz val="12"/>
        <color theme="1"/>
        <rFont val="微軟正黑體"/>
        <family val="2"/>
        <charset val="136"/>
      </rPr>
      <t>分鐘，撈起後印乾，沾上</t>
    </r>
    <r>
      <rPr>
        <sz val="12"/>
        <color theme="1"/>
        <rFont val="Calibri"/>
        <family val="2"/>
      </rPr>
      <t>3</t>
    </r>
    <r>
      <rPr>
        <sz val="12"/>
        <color theme="1"/>
        <rFont val="細明體"/>
        <family val="2"/>
        <charset val="136"/>
      </rPr>
      <t>湯匙</t>
    </r>
    <r>
      <rPr>
        <sz val="12"/>
        <color theme="1"/>
        <rFont val="微軟正黑體"/>
        <family val="2"/>
        <charset val="136"/>
      </rPr>
      <t>生粉及鹽。</t>
    </r>
    <phoneticPr fontId="2" type="noConversion"/>
  </si>
  <si>
    <t>貓耳朵</t>
  </si>
  <si>
    <t>貓耳朵</t>
    <phoneticPr fontId="2" type="noConversion"/>
  </si>
  <si>
    <t>陳醋</t>
  </si>
  <si>
    <t>陳醋</t>
    <phoneticPr fontId="2" type="noConversion"/>
  </si>
  <si>
    <r>
      <rPr>
        <sz val="12"/>
        <color theme="1"/>
        <rFont val="微軟正黑體"/>
        <family val="2"/>
        <charset val="136"/>
      </rPr>
      <t>落蒜頭炒香，落紹酒，連同剛才出味的葱薑，有香味後落蠔快炒，將醬料分時段落待收汁，同時加入葱青炒。</t>
    </r>
    <r>
      <rPr>
        <sz val="12"/>
        <color theme="1"/>
        <rFont val="細明體"/>
        <family val="2"/>
        <charset val="136"/>
      </rPr>
      <t>起鑊前落兩滴麻油</t>
    </r>
    <phoneticPr fontId="2" type="noConversion"/>
  </si>
  <si>
    <r>
      <rPr>
        <sz val="12"/>
        <color theme="1"/>
        <rFont val="微軟正黑體"/>
        <family val="2"/>
        <charset val="136"/>
      </rPr>
      <t>用中火燒熱油鍋，加入薑片同葱白出味，之後撈起薑及葱白，落蠔煎至微金黃後撈起。大火煎</t>
    </r>
    <r>
      <rPr>
        <sz val="12"/>
        <color theme="1"/>
        <rFont val="Calibri"/>
        <family val="2"/>
      </rPr>
      <t>30</t>
    </r>
    <r>
      <rPr>
        <sz val="12"/>
        <color theme="1"/>
        <rFont val="細明體"/>
        <family val="2"/>
        <charset val="136"/>
      </rPr>
      <t>秒反面</t>
    </r>
    <phoneticPr fontId="2" type="noConversion"/>
  </si>
  <si>
    <t>滴</t>
    <phoneticPr fontId="2" type="noConversion"/>
  </si>
  <si>
    <t>兩</t>
  </si>
  <si>
    <r>
      <rPr>
        <sz val="12"/>
        <color theme="1"/>
        <rFont val="微軟正黑體"/>
        <family val="2"/>
        <charset val="136"/>
      </rPr>
      <t>雲耳浸</t>
    </r>
    <r>
      <rPr>
        <sz val="12"/>
        <color theme="1"/>
        <rFont val="Calibri"/>
        <family val="2"/>
      </rPr>
      <t xml:space="preserve"> 30 </t>
    </r>
    <r>
      <rPr>
        <sz val="12"/>
        <color theme="1"/>
        <rFont val="微軟正黑體"/>
        <family val="2"/>
        <charset val="136"/>
      </rPr>
      <t>分鐘，瀝水</t>
    </r>
    <r>
      <rPr>
        <sz val="12"/>
        <color theme="1"/>
        <rFont val="Calibri"/>
        <family val="2"/>
      </rPr>
      <t>,</t>
    </r>
    <r>
      <rPr>
        <sz val="12"/>
        <color theme="1"/>
        <rFont val="微軟正黑體"/>
        <family val="2"/>
        <charset val="136"/>
      </rPr>
      <t>去沙。</t>
    </r>
    <phoneticPr fontId="2" type="noConversion"/>
  </si>
  <si>
    <r>
      <rPr>
        <sz val="12"/>
        <color theme="1"/>
        <rFont val="微軟正黑體"/>
        <family val="2"/>
        <charset val="136"/>
      </rPr>
      <t>重複洗</t>
    </r>
    <r>
      <rPr>
        <sz val="12"/>
        <color theme="1"/>
        <rFont val="Calibri"/>
        <family val="2"/>
      </rPr>
      <t xml:space="preserve"> 3 </t>
    </r>
    <r>
      <rPr>
        <sz val="12"/>
        <color theme="1"/>
        <rFont val="微軟正黑體"/>
        <family val="2"/>
        <charset val="136"/>
      </rPr>
      <t>次。</t>
    </r>
    <phoneticPr fontId="2" type="noConversion"/>
  </si>
  <si>
    <r>
      <rPr>
        <sz val="12"/>
        <color theme="1"/>
        <rFont val="微軟正黑體"/>
        <family val="2"/>
        <charset val="136"/>
      </rPr>
      <t>凍水落雲耳</t>
    </r>
    <r>
      <rPr>
        <sz val="12"/>
        <color theme="1"/>
        <rFont val="Calibri"/>
        <family val="2"/>
      </rPr>
      <t xml:space="preserve">, </t>
    </r>
    <r>
      <rPr>
        <sz val="12"/>
        <color theme="1"/>
        <rFont val="細明體"/>
        <family val="2"/>
        <charset val="136"/>
      </rPr>
      <t>水滾後煮</t>
    </r>
    <r>
      <rPr>
        <sz val="12"/>
        <color theme="1"/>
        <rFont val="Calibri"/>
        <family val="2"/>
      </rPr>
      <t xml:space="preserve"> 2 </t>
    </r>
    <r>
      <rPr>
        <sz val="12"/>
        <color theme="1"/>
        <rFont val="微軟正黑體"/>
        <family val="2"/>
        <charset val="136"/>
      </rPr>
      <t>分鐘，用凍滾水沖涼。</t>
    </r>
    <phoneticPr fontId="2" type="noConversion"/>
  </si>
  <si>
    <r>
      <rPr>
        <sz val="12"/>
        <color theme="1"/>
        <rFont val="微軟正黑體"/>
        <family val="2"/>
        <charset val="136"/>
      </rPr>
      <t>瀝水，拌調味。</t>
    </r>
    <r>
      <rPr>
        <sz val="12"/>
        <color theme="1"/>
        <rFont val="細明體"/>
        <family val="2"/>
        <charset val="136"/>
      </rPr>
      <t>放雪櫃</t>
    </r>
    <phoneticPr fontId="2" type="noConversion"/>
  </si>
  <si>
    <t>純素</t>
    <phoneticPr fontId="2" type="noConversion"/>
  </si>
  <si>
    <t>蛋奶素</t>
    <phoneticPr fontId="2" type="noConversion"/>
  </si>
  <si>
    <t>主菜</t>
  </si>
  <si>
    <t>湯水</t>
    <phoneticPr fontId="2" type="noConversion"/>
  </si>
  <si>
    <t>豬肉</t>
  </si>
  <si>
    <t>甜品</t>
  </si>
  <si>
    <t>副菜</t>
  </si>
  <si>
    <t>D0095</t>
  </si>
  <si>
    <t>D0096</t>
  </si>
  <si>
    <t>D0097</t>
  </si>
  <si>
    <t>D0098</t>
  </si>
  <si>
    <t>煎魚</t>
    <phoneticPr fontId="2" type="noConversion"/>
  </si>
  <si>
    <t>海鮮</t>
  </si>
  <si>
    <t>烚粟米</t>
    <phoneticPr fontId="2" type="noConversion"/>
  </si>
  <si>
    <t>蔬菜</t>
  </si>
  <si>
    <t>烚蛋</t>
    <phoneticPr fontId="2" type="noConversion"/>
  </si>
  <si>
    <t>蛋</t>
  </si>
  <si>
    <t>豬肉碎粥</t>
    <phoneticPr fontId="2" type="noConversion"/>
  </si>
  <si>
    <t>中式</t>
    <phoneticPr fontId="2" type="noConversion"/>
  </si>
  <si>
    <t>日式飯團</t>
    <phoneticPr fontId="2" type="noConversion"/>
  </si>
  <si>
    <t>麥皮</t>
    <phoneticPr fontId="2" type="noConversion"/>
  </si>
  <si>
    <t>D0100</t>
  </si>
  <si>
    <t>烚番薯</t>
    <phoneticPr fontId="2" type="noConversion"/>
  </si>
  <si>
    <t>D0101</t>
  </si>
  <si>
    <t>煎蛋</t>
    <phoneticPr fontId="2" type="noConversion"/>
  </si>
  <si>
    <t>無糖豆漿</t>
    <phoneticPr fontId="2" type="noConversion"/>
  </si>
  <si>
    <t>饅頭</t>
    <phoneticPr fontId="2" type="noConversion"/>
  </si>
  <si>
    <t>豆</t>
  </si>
  <si>
    <t>主食</t>
  </si>
  <si>
    <t>主食</t>
    <phoneticPr fontId="2" type="noConversion"/>
  </si>
  <si>
    <t>D0102</t>
  </si>
  <si>
    <t>D0103</t>
  </si>
  <si>
    <t>D0104</t>
  </si>
  <si>
    <t>D0105</t>
  </si>
  <si>
    <t>D0106</t>
  </si>
  <si>
    <t>D0107</t>
  </si>
  <si>
    <t>烚菜</t>
    <phoneticPr fontId="2" type="noConversion"/>
  </si>
  <si>
    <t>炒菜</t>
    <phoneticPr fontId="2" type="noConversion"/>
  </si>
  <si>
    <r>
      <rPr>
        <sz val="12"/>
        <color theme="1"/>
        <rFont val="微軟正黑體"/>
        <family val="2"/>
        <charset val="136"/>
      </rPr>
      <t>粢</t>
    </r>
    <r>
      <rPr>
        <sz val="12"/>
        <color theme="1"/>
        <rFont val="細明體"/>
        <family val="2"/>
        <charset val="136"/>
      </rPr>
      <t>飯</t>
    </r>
    <phoneticPr fontId="2" type="noConversion"/>
  </si>
  <si>
    <t>D0108</t>
  </si>
  <si>
    <t>飲品</t>
  </si>
  <si>
    <t>飲品</t>
    <phoneticPr fontId="2" type="noConversion"/>
  </si>
  <si>
    <t>炒麵</t>
    <phoneticPr fontId="2" type="noConversion"/>
  </si>
  <si>
    <t>D0109</t>
  </si>
  <si>
    <t>雞肉</t>
  </si>
  <si>
    <t>果仁</t>
    <phoneticPr fontId="2" type="noConversion"/>
  </si>
  <si>
    <t>D0110</t>
  </si>
  <si>
    <t>All day breakfast</t>
    <phoneticPr fontId="2" type="noConversion"/>
  </si>
  <si>
    <t>D0111</t>
  </si>
  <si>
    <t>薯蓉</t>
    <phoneticPr fontId="2" type="noConversion"/>
  </si>
  <si>
    <t>D0112</t>
  </si>
  <si>
    <t>南瓜濃湯</t>
    <phoneticPr fontId="2" type="noConversion"/>
  </si>
  <si>
    <t>D0113</t>
  </si>
  <si>
    <t>湯水</t>
  </si>
  <si>
    <t>蒸魚</t>
    <phoneticPr fontId="2" type="noConversion"/>
  </si>
  <si>
    <t>乾煎大蝦</t>
    <phoneticPr fontId="2" type="noConversion"/>
  </si>
  <si>
    <t>油鹽水絲瓜花甲</t>
    <phoneticPr fontId="2" type="noConversion"/>
  </si>
  <si>
    <t>鼓汁帶子蒸豆腐</t>
    <phoneticPr fontId="2" type="noConversion"/>
  </si>
  <si>
    <t>香茅蝦棒</t>
    <phoneticPr fontId="2" type="noConversion"/>
  </si>
  <si>
    <t>金銀蒜蒸開邊蝦</t>
    <phoneticPr fontId="2" type="noConversion"/>
  </si>
  <si>
    <t>D0095</t>
    <phoneticPr fontId="2" type="noConversion"/>
  </si>
  <si>
    <t>D0114</t>
  </si>
  <si>
    <t>D0115</t>
  </si>
  <si>
    <t>D0116</t>
  </si>
  <si>
    <t>D0117</t>
  </si>
  <si>
    <t>D0118</t>
  </si>
  <si>
    <t>D0119</t>
  </si>
  <si>
    <t>Expire(day)</t>
    <phoneticPr fontId="2" type="noConversion"/>
  </si>
  <si>
    <t>D0120</t>
  </si>
  <si>
    <t>陳皮蒸鮑魚</t>
    <phoneticPr fontId="2" type="noConversion"/>
  </si>
  <si>
    <t>鼓油王煎蝦配腸粉底</t>
    <phoneticPr fontId="2" type="noConversion"/>
  </si>
  <si>
    <t>D0121</t>
  </si>
  <si>
    <t>D0122</t>
  </si>
  <si>
    <t>煎餃子</t>
    <phoneticPr fontId="2" type="noConversion"/>
  </si>
  <si>
    <t>D0123</t>
  </si>
  <si>
    <t>苦瓜炒蛋</t>
    <phoneticPr fontId="2" type="noConversion"/>
  </si>
  <si>
    <t>蕃茄炒蛋</t>
    <phoneticPr fontId="2" type="noConversion"/>
  </si>
  <si>
    <t>D0124</t>
  </si>
  <si>
    <t>D0125</t>
  </si>
  <si>
    <t>獨立成餐</t>
  </si>
  <si>
    <t>獨立成餐</t>
    <phoneticPr fontId="2" type="noConversion"/>
  </si>
  <si>
    <t>小食</t>
  </si>
  <si>
    <t>小食</t>
    <phoneticPr fontId="2" type="noConversion"/>
  </si>
  <si>
    <t>煎釀青椒</t>
    <phoneticPr fontId="2" type="noConversion"/>
  </si>
  <si>
    <t>D0126</t>
  </si>
  <si>
    <t>味道</t>
    <phoneticPr fontId="2" type="noConversion"/>
  </si>
  <si>
    <t>Taste</t>
    <phoneticPr fontId="2" type="noConversion"/>
  </si>
  <si>
    <t>濃味</t>
  </si>
  <si>
    <t>濃味</t>
    <phoneticPr fontId="2" type="noConversion"/>
  </si>
  <si>
    <t>一般</t>
  </si>
  <si>
    <t>一般</t>
    <phoneticPr fontId="2" type="noConversion"/>
  </si>
  <si>
    <t>淡味</t>
  </si>
  <si>
    <t>淡味</t>
    <phoneticPr fontId="2" type="noConversion"/>
  </si>
  <si>
    <t>不適用</t>
  </si>
  <si>
    <t>不適用</t>
    <phoneticPr fontId="2" type="noConversion"/>
  </si>
  <si>
    <t>茶碗蒸</t>
    <phoneticPr fontId="2" type="noConversion"/>
  </si>
  <si>
    <t>玉子燒</t>
    <phoneticPr fontId="2" type="noConversion"/>
  </si>
  <si>
    <t>D0127</t>
  </si>
  <si>
    <t>D0128</t>
  </si>
  <si>
    <t>蜜糖雞翼</t>
    <phoneticPr fontId="2" type="noConversion"/>
  </si>
  <si>
    <t>D0129</t>
  </si>
  <si>
    <t>固體主食</t>
  </si>
  <si>
    <t>流質主食</t>
  </si>
  <si>
    <t>早餐類型</t>
    <phoneticPr fontId="2" type="noConversion"/>
  </si>
  <si>
    <t>蛋白質</t>
  </si>
  <si>
    <t>炒蛋</t>
    <phoneticPr fontId="2" type="noConversion"/>
  </si>
  <si>
    <t>D0130</t>
  </si>
  <si>
    <t>D0131</t>
  </si>
  <si>
    <t>奶</t>
  </si>
  <si>
    <t>煎豬排</t>
    <phoneticPr fontId="2" type="noConversion"/>
  </si>
  <si>
    <t>煎雞排</t>
    <phoneticPr fontId="2" type="noConversion"/>
  </si>
  <si>
    <t>D0132</t>
  </si>
  <si>
    <t>D0133</t>
  </si>
  <si>
    <t>香蕉</t>
    <phoneticPr fontId="2" type="noConversion"/>
  </si>
  <si>
    <t>小番茄</t>
    <phoneticPr fontId="2" type="noConversion"/>
  </si>
  <si>
    <t>火龍果</t>
    <phoneticPr fontId="2" type="noConversion"/>
  </si>
  <si>
    <t>奇異果</t>
    <phoneticPr fontId="2" type="noConversion"/>
  </si>
  <si>
    <t>藍苺</t>
    <phoneticPr fontId="2" type="noConversion"/>
  </si>
  <si>
    <t>D0134</t>
  </si>
  <si>
    <t>D0135</t>
  </si>
  <si>
    <t>D0136</t>
  </si>
  <si>
    <t>D0137</t>
  </si>
  <si>
    <t>D0138</t>
  </si>
  <si>
    <t>水煎蔬菜</t>
    <phoneticPr fontId="2" type="noConversion"/>
  </si>
  <si>
    <t>D0139</t>
  </si>
  <si>
    <t>蘋果烤蛋奶</t>
    <phoneticPr fontId="2" type="noConversion"/>
  </si>
  <si>
    <t>D0140</t>
  </si>
  <si>
    <t>水果吐司捲</t>
    <phoneticPr fontId="2" type="noConversion"/>
  </si>
  <si>
    <t>D0141</t>
  </si>
  <si>
    <t>烚蝦仁</t>
    <phoneticPr fontId="2" type="noConversion"/>
  </si>
  <si>
    <t>D0142</t>
  </si>
  <si>
    <t>Waffle</t>
    <phoneticPr fontId="2" type="noConversion"/>
  </si>
  <si>
    <t>D0143</t>
  </si>
  <si>
    <t>烚雞胸條</t>
    <phoneticPr fontId="2" type="noConversion"/>
  </si>
  <si>
    <t>窩蛋牛肉煲仔飯</t>
    <phoneticPr fontId="2" type="noConversion"/>
  </si>
  <si>
    <t>牛肉</t>
  </si>
  <si>
    <t>D0144</t>
  </si>
  <si>
    <t>D0145</t>
  </si>
  <si>
    <t>油煎豆腐</t>
    <phoneticPr fontId="2" type="noConversion"/>
  </si>
  <si>
    <t>紙包金針菇</t>
    <phoneticPr fontId="2" type="noConversion"/>
  </si>
  <si>
    <t>D0146</t>
  </si>
  <si>
    <t>D0147</t>
  </si>
  <si>
    <t>蕃薯薑糖水</t>
    <phoneticPr fontId="2" type="noConversion"/>
  </si>
  <si>
    <t>楊枝甘露</t>
    <phoneticPr fontId="2" type="noConversion"/>
  </si>
  <si>
    <t>三絲炒米粉</t>
    <phoneticPr fontId="2" type="noConversion"/>
  </si>
  <si>
    <t>養生猴頭菇湯</t>
    <phoneticPr fontId="2" type="noConversion"/>
  </si>
  <si>
    <t>辣白菜豆腐湯</t>
    <phoneticPr fontId="2" type="noConversion"/>
  </si>
  <si>
    <t>合掌瓜茶樹菇淮山腰果湯</t>
    <phoneticPr fontId="2" type="noConversion"/>
  </si>
  <si>
    <t>素酸辣湯</t>
    <phoneticPr fontId="2" type="noConversion"/>
  </si>
  <si>
    <t>琵琶豆腐</t>
    <phoneticPr fontId="2" type="noConversion"/>
  </si>
  <si>
    <t>D0148</t>
  </si>
  <si>
    <t>D0149</t>
  </si>
  <si>
    <t>D0150</t>
  </si>
  <si>
    <t>D0151</t>
  </si>
  <si>
    <t>D0152</t>
  </si>
  <si>
    <t>D0153</t>
  </si>
  <si>
    <t>D0154</t>
  </si>
  <si>
    <t>D0155</t>
  </si>
  <si>
    <t>梅菜素扣肉</t>
    <phoneticPr fontId="2" type="noConversion"/>
  </si>
  <si>
    <t>客家蒸釀苦瓜</t>
    <phoneticPr fontId="2" type="noConversion"/>
  </si>
  <si>
    <t>越式酸辣豆腐雜菜湯</t>
    <phoneticPr fontId="2" type="noConversion"/>
  </si>
  <si>
    <t>牙車快(越式沙律)</t>
    <phoneticPr fontId="2" type="noConversion"/>
  </si>
  <si>
    <t>D0156</t>
  </si>
  <si>
    <t>D0157</t>
  </si>
  <si>
    <t>D0158</t>
  </si>
  <si>
    <t>D0159</t>
  </si>
  <si>
    <t>馬鈴薯味噌湯</t>
    <phoneticPr fontId="2" type="noConversion"/>
  </si>
  <si>
    <t>D0160</t>
  </si>
  <si>
    <t>味噌湯</t>
    <phoneticPr fontId="2" type="noConversion"/>
  </si>
  <si>
    <t>豬肉味噌湯</t>
    <phoneticPr fontId="2" type="noConversion"/>
  </si>
  <si>
    <t>醃漬白泡菜</t>
    <phoneticPr fontId="2" type="noConversion"/>
  </si>
  <si>
    <t>燉甜南瓜</t>
    <phoneticPr fontId="2" type="noConversion"/>
  </si>
  <si>
    <t>D0161</t>
  </si>
  <si>
    <t>D0162</t>
  </si>
  <si>
    <t>D0163</t>
  </si>
  <si>
    <t>乾拌菠菜</t>
    <phoneticPr fontId="2" type="noConversion"/>
  </si>
  <si>
    <t>D0164</t>
  </si>
  <si>
    <t>咖哩烏冬</t>
    <phoneticPr fontId="2" type="noConversion"/>
  </si>
  <si>
    <t>薯仔燉肉</t>
    <phoneticPr fontId="2" type="noConversion"/>
  </si>
  <si>
    <t>D0165</t>
  </si>
  <si>
    <t>D0166</t>
  </si>
  <si>
    <t>大阪燒</t>
    <phoneticPr fontId="2" type="noConversion"/>
  </si>
  <si>
    <t>D0167</t>
  </si>
  <si>
    <t>香煎雞肉丸</t>
    <phoneticPr fontId="2" type="noConversion"/>
  </si>
  <si>
    <t>D0168</t>
  </si>
  <si>
    <t>黑蜜豆奶布丁</t>
    <phoneticPr fontId="2" type="noConversion"/>
  </si>
  <si>
    <t>茄汁手工薯仔球</t>
    <phoneticPr fontId="2" type="noConversion"/>
  </si>
  <si>
    <t>D0169</t>
  </si>
  <si>
    <t>D0170</t>
  </si>
  <si>
    <t>素咖喱飯</t>
    <phoneticPr fontId="2" type="noConversion"/>
  </si>
  <si>
    <t>D0171</t>
  </si>
  <si>
    <t>西式</t>
  </si>
  <si>
    <t>莓果香蕉杏仁奶昔</t>
    <phoneticPr fontId="2" type="noConversion"/>
  </si>
  <si>
    <t>D0172</t>
  </si>
  <si>
    <t>花生醬椰漿天貝蓋飯</t>
    <phoneticPr fontId="2" type="noConversion"/>
  </si>
  <si>
    <t>D0173</t>
  </si>
  <si>
    <t>老少平安</t>
    <phoneticPr fontId="2" type="noConversion"/>
  </si>
  <si>
    <t>中式</t>
  </si>
  <si>
    <t>純素醬燒豆腐煲</t>
    <phoneticPr fontId="2" type="noConversion"/>
  </si>
  <si>
    <t>開心果芝士蛋糕</t>
    <phoneticPr fontId="2" type="noConversion"/>
  </si>
  <si>
    <t>日式</t>
  </si>
  <si>
    <t>鹽趜味噌燉菜</t>
    <phoneticPr fontId="2" type="noConversion"/>
  </si>
  <si>
    <t>D0174</t>
  </si>
  <si>
    <t>D0175</t>
  </si>
  <si>
    <t>D0176</t>
  </si>
  <si>
    <t>D0177</t>
  </si>
  <si>
    <t>手撕杏鮑菇</t>
    <phoneticPr fontId="2" type="noConversion"/>
  </si>
  <si>
    <t>D0178</t>
  </si>
  <si>
    <t>客家風味炸豆腐</t>
    <phoneticPr fontId="2" type="noConversion"/>
  </si>
  <si>
    <t>D0179</t>
  </si>
  <si>
    <t>素螞蟻上樹</t>
    <phoneticPr fontId="2" type="noConversion"/>
  </si>
  <si>
    <t>D0180</t>
  </si>
  <si>
    <t>三杯豆腐</t>
    <phoneticPr fontId="2" type="noConversion"/>
  </si>
  <si>
    <t>D0181</t>
  </si>
  <si>
    <t>hsuan_tv</t>
    <phoneticPr fontId="2" type="noConversion"/>
  </si>
  <si>
    <t>D0182</t>
  </si>
  <si>
    <t>D0183</t>
  </si>
  <si>
    <t>天貝全麥三文治</t>
    <phoneticPr fontId="2" type="noConversion"/>
  </si>
  <si>
    <t>鷹嘴豆泥配全麥多士</t>
    <phoneticPr fontId="2" type="noConversion"/>
  </si>
  <si>
    <t>綠拿鐡高蛋白飲</t>
    <phoneticPr fontId="2" type="noConversion"/>
  </si>
  <si>
    <t>D0184</t>
  </si>
  <si>
    <t>花生醬蛋白棒</t>
    <phoneticPr fontId="2" type="noConversion"/>
  </si>
  <si>
    <t>D0185</t>
  </si>
  <si>
    <t>https://www.barrelleaf.com/high-protein-vegan-breakfasts</t>
  </si>
  <si>
    <t>堅果燕麥能量棒</t>
    <phoneticPr fontId="2" type="noConversion"/>
  </si>
  <si>
    <t>D0186</t>
  </si>
  <si>
    <t>醬燒豆腐</t>
    <phoneticPr fontId="2" type="noConversion"/>
  </si>
  <si>
    <t>D0187</t>
  </si>
  <si>
    <t>D0188</t>
  </si>
  <si>
    <t>中華雞蛋豆腐</t>
  </si>
  <si>
    <t>中華雞蛋豆腐</t>
    <phoneticPr fontId="2" type="noConversion"/>
  </si>
  <si>
    <t>盒</t>
    <phoneticPr fontId="2" type="noConversion"/>
  </si>
  <si>
    <r>
      <rPr>
        <sz val="12"/>
        <color theme="1"/>
        <rFont val="細明體"/>
        <family val="2"/>
        <charset val="136"/>
      </rPr>
      <t>豆腐切成</t>
    </r>
    <r>
      <rPr>
        <sz val="12"/>
        <color theme="1"/>
        <rFont val="Calibri"/>
        <family val="2"/>
      </rPr>
      <t>8</t>
    </r>
    <r>
      <rPr>
        <sz val="12"/>
        <color theme="1"/>
        <rFont val="細明體"/>
        <family val="2"/>
        <charset val="136"/>
      </rPr>
      <t>片備用</t>
    </r>
    <phoneticPr fontId="2" type="noConversion"/>
  </si>
  <si>
    <t>以少許油熱鍋後,加入雞蛋豆腐以中火煎至兩面金黃</t>
    <phoneticPr fontId="2" type="noConversion"/>
  </si>
  <si>
    <t>取一小段餐巾紙, 用筷子夾住, 將鍋中多餘的油吸乾, 接著加入調味料. 待豆腐吸附醬汁, 即成</t>
    <phoneticPr fontId="2" type="noConversion"/>
  </si>
  <si>
    <t>Credit to</t>
    <phoneticPr fontId="2" type="noConversion"/>
  </si>
  <si>
    <t>林姓主婦的晚餐餐桌提案</t>
    <phoneticPr fontId="2" type="noConversion"/>
  </si>
  <si>
    <t>正常</t>
  </si>
  <si>
    <t>純素</t>
  </si>
  <si>
    <t>蛋奶素</t>
  </si>
  <si>
    <t>ID</t>
    <phoneticPr fontId="2" type="noConversion"/>
  </si>
  <si>
    <t>Cuisine</t>
    <phoneticPr fontId="2" type="noConversion"/>
  </si>
  <si>
    <t>蒜炒小芥菜</t>
    <phoneticPr fontId="2" type="noConversion"/>
  </si>
  <si>
    <t>蒜香蒸豬五花高麗菜</t>
    <phoneticPr fontId="2" type="noConversion"/>
  </si>
  <si>
    <t>小黃瓜炒肉末</t>
    <phoneticPr fontId="2" type="noConversion"/>
  </si>
  <si>
    <t>冬瓜肉燥</t>
    <phoneticPr fontId="2" type="noConversion"/>
  </si>
  <si>
    <t>豆腐肉捲</t>
    <phoneticPr fontId="2" type="noConversion"/>
  </si>
  <si>
    <t>味噌松阪豬</t>
    <phoneticPr fontId="2" type="noConversion"/>
  </si>
  <si>
    <t>洋蔥炒豬肉</t>
    <phoneticPr fontId="2" type="noConversion"/>
  </si>
  <si>
    <t>洋蔥燴腩排</t>
    <phoneticPr fontId="2" type="noConversion"/>
  </si>
  <si>
    <t>甜椒櫛瓜味噌豬五花</t>
    <phoneticPr fontId="2" type="noConversion"/>
  </si>
  <si>
    <t>甜椒鑲肉</t>
    <phoneticPr fontId="2" type="noConversion"/>
  </si>
  <si>
    <t>野菜炒豬肉</t>
    <phoneticPr fontId="2" type="noConversion"/>
  </si>
  <si>
    <t>蕃茄薯仔燉肋排</t>
    <phoneticPr fontId="2" type="noConversion"/>
  </si>
  <si>
    <t>嫩煎豬排</t>
    <phoneticPr fontId="2" type="noConversion"/>
  </si>
  <si>
    <t>蒜苗蘿蔔燉肉</t>
    <phoneticPr fontId="2" type="noConversion"/>
  </si>
  <si>
    <t>蒜香醬油薄骨嫩肩排</t>
    <phoneticPr fontId="2" type="noConversion"/>
  </si>
  <si>
    <t>蜜汁排骨(腩排)</t>
    <phoneticPr fontId="2" type="noConversion"/>
  </si>
  <si>
    <t>菜系</t>
    <phoneticPr fontId="2" type="noConversion"/>
  </si>
  <si>
    <t>阿育吠陀</t>
    <phoneticPr fontId="2" type="noConversion"/>
  </si>
  <si>
    <t>韓式</t>
  </si>
  <si>
    <t>D0189</t>
  </si>
  <si>
    <t>D0190</t>
  </si>
  <si>
    <t>D0191</t>
  </si>
  <si>
    <t>D0192</t>
  </si>
  <si>
    <t>D0193</t>
  </si>
  <si>
    <t>D0194</t>
  </si>
  <si>
    <t>D0195</t>
  </si>
  <si>
    <t>D0196</t>
  </si>
  <si>
    <t>D0197</t>
  </si>
  <si>
    <t>D0198</t>
  </si>
  <si>
    <t>D0199</t>
  </si>
  <si>
    <t>D0200</t>
  </si>
  <si>
    <t>D0201</t>
  </si>
  <si>
    <t>D0202</t>
  </si>
  <si>
    <t>D0203</t>
  </si>
  <si>
    <t>日式蘿蔔燉雞翼</t>
    <phoneticPr fontId="2" type="noConversion"/>
  </si>
  <si>
    <t>蕃薯梅子燒雞</t>
    <phoneticPr fontId="2" type="noConversion"/>
  </si>
  <si>
    <t>茄汁毛豆玉米雞絞肉</t>
    <phoneticPr fontId="2" type="noConversion"/>
  </si>
  <si>
    <t>香菇綠竹筍燒雞</t>
    <phoneticPr fontId="2" type="noConversion"/>
  </si>
  <si>
    <t>香煎雞腿排佐櫛瓜</t>
    <phoneticPr fontId="2" type="noConversion"/>
  </si>
  <si>
    <t>海帶滷雞翼</t>
    <phoneticPr fontId="2" type="noConversion"/>
  </si>
  <si>
    <t>蔥油淋雞</t>
    <phoneticPr fontId="2" type="noConversion"/>
  </si>
  <si>
    <t>蘆筍甜椒鳯梨炒嫩雞</t>
    <phoneticPr fontId="2" type="noConversion"/>
  </si>
  <si>
    <t>鹽麴雞唐揚</t>
    <phoneticPr fontId="2" type="noConversion"/>
  </si>
  <si>
    <t>D0204</t>
  </si>
  <si>
    <t>D0205</t>
  </si>
  <si>
    <t>D0206</t>
  </si>
  <si>
    <t>D0207</t>
  </si>
  <si>
    <t>D0208</t>
  </si>
  <si>
    <t>D0209</t>
  </si>
  <si>
    <t>D0210</t>
  </si>
  <si>
    <t>D0211</t>
  </si>
  <si>
    <t>D0212</t>
  </si>
  <si>
    <t>香酥鱈魚</t>
    <phoneticPr fontId="2" type="noConversion"/>
  </si>
  <si>
    <t>香煎赤鯮</t>
    <phoneticPr fontId="2" type="noConversion"/>
  </si>
  <si>
    <t>香煎三文魚</t>
    <phoneticPr fontId="2" type="noConversion"/>
  </si>
  <si>
    <t>香煎鱸魚排</t>
    <phoneticPr fontId="2" type="noConversion"/>
  </si>
  <si>
    <t>烤一夜干</t>
    <phoneticPr fontId="2" type="noConversion"/>
  </si>
  <si>
    <t>烤挪威鹽漬鯖魚</t>
    <phoneticPr fontId="2" type="noConversion"/>
  </si>
  <si>
    <t>椒鹽檸檬烤三文魚</t>
    <phoneticPr fontId="2" type="noConversion"/>
  </si>
  <si>
    <t>蔥爆蝦</t>
    <phoneticPr fontId="2" type="noConversion"/>
  </si>
  <si>
    <t>蔭鳳梨清蒸白帶魚捲</t>
    <phoneticPr fontId="2" type="noConversion"/>
  </si>
  <si>
    <t>蝦仁炒蘆筍</t>
    <phoneticPr fontId="2" type="noConversion"/>
  </si>
  <si>
    <t>鹽烤檸檬魚下巴</t>
    <phoneticPr fontId="2" type="noConversion"/>
  </si>
  <si>
    <t>D0213</t>
  </si>
  <si>
    <t>D0214</t>
  </si>
  <si>
    <t>D0215</t>
  </si>
  <si>
    <t>D0216</t>
  </si>
  <si>
    <t>D0217</t>
  </si>
  <si>
    <t>D0218</t>
  </si>
  <si>
    <t>D0219</t>
  </si>
  <si>
    <t>D0220</t>
  </si>
  <si>
    <t>D0221</t>
  </si>
  <si>
    <t>D0222</t>
  </si>
  <si>
    <t>D0223</t>
  </si>
  <si>
    <t>山藥醬油燒</t>
    <phoneticPr fontId="2" type="noConversion"/>
  </si>
  <si>
    <t>四季豆佐芝麻醬</t>
    <phoneticPr fontId="2" type="noConversion"/>
  </si>
  <si>
    <t>紅燒冬瓜</t>
    <phoneticPr fontId="2" type="noConversion"/>
  </si>
  <si>
    <t>香煎薯仔</t>
    <phoneticPr fontId="2" type="noConversion"/>
  </si>
  <si>
    <t>脆炒大黃瓜</t>
    <phoneticPr fontId="2" type="noConversion"/>
  </si>
  <si>
    <t>高湯娃娃菜</t>
    <phoneticPr fontId="2" type="noConversion"/>
  </si>
  <si>
    <t>梅汁涼拌秋葵</t>
    <phoneticPr fontId="2" type="noConversion"/>
  </si>
  <si>
    <t>涼拌白菜心</t>
    <phoneticPr fontId="2" type="noConversion"/>
  </si>
  <si>
    <t>焦糖燒粟米</t>
    <phoneticPr fontId="2" type="noConversion"/>
  </si>
  <si>
    <t>塔香野菇炒粟米仔</t>
    <phoneticPr fontId="2" type="noConversion"/>
  </si>
  <si>
    <t>D0224</t>
  </si>
  <si>
    <t>D0225</t>
  </si>
  <si>
    <t>D0226</t>
  </si>
  <si>
    <t>D0227</t>
  </si>
  <si>
    <t>D0228</t>
  </si>
  <si>
    <t>D0229</t>
  </si>
  <si>
    <t>D0230</t>
  </si>
  <si>
    <t>D0231</t>
  </si>
  <si>
    <t>D0232</t>
  </si>
  <si>
    <t>D0233</t>
  </si>
  <si>
    <t>D0234</t>
  </si>
  <si>
    <t>蔬果</t>
  </si>
  <si>
    <t>蔬果</t>
    <phoneticPr fontId="2" type="noConversion"/>
  </si>
  <si>
    <t>皮蛋豆腐</t>
    <phoneticPr fontId="2" type="noConversion"/>
  </si>
  <si>
    <t>芝麻醬涼拌豆腐</t>
    <phoneticPr fontId="2" type="noConversion"/>
  </si>
  <si>
    <t>家常滷豆腐</t>
    <phoneticPr fontId="2" type="noConversion"/>
  </si>
  <si>
    <t>椒鹽豆腐丁</t>
    <phoneticPr fontId="2" type="noConversion"/>
  </si>
  <si>
    <t>蔥味噌焗烤芝士油豆腐</t>
    <phoneticPr fontId="2" type="noConversion"/>
  </si>
  <si>
    <t>蔥燒豆皮</t>
    <phoneticPr fontId="2" type="noConversion"/>
  </si>
  <si>
    <t>D0235</t>
  </si>
  <si>
    <t>D0236</t>
  </si>
  <si>
    <t>D0237</t>
  </si>
  <si>
    <t>D0238</t>
  </si>
  <si>
    <t>D0239</t>
  </si>
  <si>
    <t>粟米玉子燒</t>
    <phoneticPr fontId="2" type="noConversion"/>
  </si>
  <si>
    <t>紫菜玉子燒</t>
    <phoneticPr fontId="2" type="noConversion"/>
  </si>
  <si>
    <t>茭白筍炒蛋</t>
    <phoneticPr fontId="2" type="noConversion"/>
  </si>
  <si>
    <t>蝦仁炒蛋</t>
    <phoneticPr fontId="2" type="noConversion"/>
  </si>
  <si>
    <t>櫻花蝦菜脯蛋</t>
    <phoneticPr fontId="2" type="noConversion"/>
  </si>
  <si>
    <t>鹽昆布薯仔雞蛋沙律</t>
    <phoneticPr fontId="2" type="noConversion"/>
  </si>
  <si>
    <t>D0240</t>
  </si>
  <si>
    <t>D0241</t>
  </si>
  <si>
    <t>D0242</t>
  </si>
  <si>
    <t>D0243</t>
  </si>
  <si>
    <t>D0244</t>
  </si>
  <si>
    <t>D0245</t>
  </si>
  <si>
    <t>錕飩湯麵</t>
    <phoneticPr fontId="2" type="noConversion"/>
  </si>
  <si>
    <t>凍烏冬佐溫泉蛋</t>
    <phoneticPr fontId="2" type="noConversion"/>
  </si>
  <si>
    <t>洋蔥雞肉燥飯佐溫泉蛋</t>
    <phoneticPr fontId="2" type="noConversion"/>
  </si>
  <si>
    <t>焦糖粟米飯</t>
    <phoneticPr fontId="2" type="noConversion"/>
  </si>
  <si>
    <t>蝦仁炒飯</t>
    <phoneticPr fontId="2" type="noConversion"/>
  </si>
  <si>
    <t>韓式烤肉時蔬拌飯</t>
    <phoneticPr fontId="2" type="noConversion"/>
  </si>
  <si>
    <t>D0246</t>
  </si>
  <si>
    <t>D0247</t>
  </si>
  <si>
    <t>D0248</t>
  </si>
  <si>
    <t>D0249</t>
  </si>
  <si>
    <t>D0250</t>
  </si>
  <si>
    <t>D0251</t>
  </si>
  <si>
    <t>D0252</t>
  </si>
  <si>
    <t>台式雞肉飯</t>
    <phoneticPr fontId="2" type="noConversion"/>
  </si>
  <si>
    <t>油揚味噌湯</t>
    <phoneticPr fontId="2" type="noConversion"/>
  </si>
  <si>
    <t>台式蕃茄蛋花雞湯</t>
    <phoneticPr fontId="2" type="noConversion"/>
  </si>
  <si>
    <t>台式蜆絲瓜湯</t>
    <phoneticPr fontId="2" type="noConversion"/>
  </si>
  <si>
    <t>韓式海帶芽牛肉湯</t>
    <phoneticPr fontId="2" type="noConversion"/>
  </si>
  <si>
    <t>蘿蔔三文魚味噌湯</t>
    <phoneticPr fontId="2" type="noConversion"/>
  </si>
  <si>
    <t>D0253</t>
  </si>
  <si>
    <t>D0254</t>
  </si>
  <si>
    <t>D0255</t>
  </si>
  <si>
    <t>D0256</t>
  </si>
  <si>
    <t>D0257</t>
  </si>
  <si>
    <t>和風洋葱蛋花湯</t>
    <phoneticPr fontId="2" type="noConversion"/>
  </si>
  <si>
    <t>D0258</t>
  </si>
  <si>
    <t>椰菜</t>
  </si>
  <si>
    <t>個</t>
    <phoneticPr fontId="2" type="noConversion"/>
  </si>
  <si>
    <t>豬五花薄片</t>
  </si>
  <si>
    <t>豬五花薄片</t>
    <phoneticPr fontId="2" type="noConversion"/>
  </si>
  <si>
    <t>白醋</t>
  </si>
  <si>
    <t>白醋</t>
    <phoneticPr fontId="2" type="noConversion"/>
  </si>
  <si>
    <t>芝麻油</t>
  </si>
  <si>
    <t>芝麻油</t>
    <phoneticPr fontId="2" type="noConversion"/>
  </si>
  <si>
    <t>Cat ears Fugus</t>
    <phoneticPr fontId="2" type="noConversion"/>
  </si>
  <si>
    <t>Step_EN</t>
    <phoneticPr fontId="2" type="noConversion"/>
  </si>
  <si>
    <t>Step_FIL</t>
    <phoneticPr fontId="2" type="noConversion"/>
  </si>
  <si>
    <t>Step_ID</t>
    <phoneticPr fontId="2" type="noConversion"/>
  </si>
  <si>
    <t>菜名</t>
    <phoneticPr fontId="2" type="noConversion"/>
  </si>
  <si>
    <t>提香用</t>
    <phoneticPr fontId="2" type="noConversion"/>
  </si>
  <si>
    <t>可省略</t>
    <phoneticPr fontId="2" type="noConversion"/>
  </si>
  <si>
    <t>依序將高麗菜與豬五花薄片均勻鋪在鍋中, 淋紹興酒(可省略)</t>
    <phoneticPr fontId="2" type="noConversion"/>
  </si>
  <si>
    <t>藝上鍋蓋,以小火燜煮7-10分鐘, 至肉片熟透</t>
    <phoneticPr fontId="2" type="noConversion"/>
  </si>
  <si>
    <t>將前四項調味料與蒜末一起混合均勻,淋在肉片上.</t>
    <phoneticPr fontId="2" type="noConversion"/>
  </si>
  <si>
    <t>薄切梅花豬肉片</t>
  </si>
  <si>
    <t>薄切梅花豬肉片</t>
    <phoneticPr fontId="2" type="noConversion"/>
  </si>
  <si>
    <t>板豆腐</t>
  </si>
  <si>
    <t>板豆腐</t>
    <phoneticPr fontId="2" type="noConversion"/>
  </si>
  <si>
    <t>塊</t>
    <phoneticPr fontId="2" type="noConversion"/>
  </si>
  <si>
    <t>味醂</t>
  </si>
  <si>
    <t>將豆腐條包進肉片後捲起</t>
    <phoneticPr fontId="2" type="noConversion"/>
  </si>
  <si>
    <t>以少許油熱鍋後,將肉接縫處朝下用中小火煎, 若有剩的豆腐也可一起放入鍋中煎</t>
    <phoneticPr fontId="2" type="noConversion"/>
  </si>
  <si>
    <t>待肉每一面都煎熟後, 淋上調味料, 此時需不時翻動肉讓醬汁均勻吸附, 等醬汁變濃稠,肉捲上色入味後,即完成</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</si>
</sst>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2"/>
      <color theme="1"/>
      <name val="新細明體"/>
      <family val="2"/>
      <charset val="136"/>
      <scheme val="minor"/>
    </font>
    <font>
      <sz val="12"/>
      <color theme="1"/>
      <name val="新細明體"/>
      <family val="2"/>
      <charset val="136"/>
    </font>
    <font>
      <sz val="9"/>
      <name val="新細明體"/>
      <family val="2"/>
      <charset val="136"/>
      <scheme val="minor"/>
    </font>
    <font>
      <sz val="12"/>
      <color theme="1"/>
      <name val="Calibri"/>
      <family val="2"/>
    </font>
    <font>
      <sz val="12"/>
      <color theme="1"/>
      <name val="細明體"/>
      <family val="2"/>
      <charset val="136"/>
    </font>
    <font>
      <sz val="12"/>
      <color theme="1"/>
      <name val="Calibri"/>
      <family val="2"/>
      <charset val="136"/>
    </font>
    <font>
      <sz val="12"/>
      <color theme="1"/>
      <name val="微軟正黑體"/>
      <family val="2"/>
      <charset val="136"/>
    </font>
    <font>
      <sz val="12"/>
      <color theme="1"/>
      <name val="新細明體"/>
      <family val="1"/>
      <charset val="136"/>
    </font>
    <font>
      <b/>
      <sz val="12"/>
      <color theme="1"/>
      <name val="Calibri"/>
      <family val="2"/>
    </font>
    <font>
      <b/>
      <sz val="12"/>
      <color theme="1"/>
      <name val="新細明體"/>
      <family val="1"/>
      <charset val="136"/>
    </font>
    <font>
      <sz val="12"/>
      <color theme="1"/>
      <name val="細明體"/>
      <family val="3"/>
      <charset val="136"/>
    </font>
    <font>
      <sz val="12"/>
      <color theme="1"/>
      <name val="新細明體"/>
      <family val="3"/>
      <charset val="136"/>
    </font>
    <font>
      <sz val="12"/>
      <color theme="1"/>
      <name val="Calibri"/>
      <family val="3"/>
      <charset val="136"/>
    </font>
    <font>
      <b/>
      <sz val="12"/>
      <color theme="0"/>
      <name val="Calibri"/>
      <family val="2"/>
    </font>
    <font>
      <b/>
      <sz val="12"/>
      <color theme="1"/>
      <name val="細明體"/>
      <family val="2"/>
      <charset val="136"/>
    </font>
  </fonts>
  <fills count="8">
    <fill>
      <patternFill patternType="none"/>
    </fill>
    <fill>
      <patternFill patternType="gray125"/>
    </fill>
    <fill>
      <patternFill patternType="solid">
        <fgColor theme="8" tint="-0.249977111117893"/>
        <bgColor indexed="64"/>
      </patternFill>
    </fill>
    <fill>
      <patternFill patternType="solid">
        <fgColor theme="9" tint="0.39997558519241921"/>
        <bgColor indexed="64"/>
      </patternFill>
    </fill>
    <fill>
      <patternFill patternType="solid">
        <fgColor rgb="FFFFFF00"/>
        <bgColor indexed="64"/>
      </patternFill>
    </fill>
    <fill>
      <patternFill patternType="solid">
        <fgColor theme="4"/>
        <bgColor theme="4"/>
      </patternFill>
    </fill>
    <fill>
      <patternFill patternType="solid">
        <fgColor theme="5" tint="0.39997558519241921"/>
        <bgColor indexed="64"/>
      </patternFill>
    </fill>
    <fill>
      <patternFill patternType="solid">
        <fgColor theme="4" tint="0.79998168889431442"/>
        <bgColor theme="4" tint="0.79998168889431442"/>
      </patternFill>
    </fill>
  </fills>
  <borders count="4">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thin">
        <color theme="4" tint="0.39997558519241921"/>
      </left>
      <right/>
      <top style="thin">
        <color theme="4" tint="0.39997558519241921"/>
      </top>
      <bottom style="thin">
        <color theme="4" tint="0.39997558519241921"/>
      </bottom>
      <diagonal/>
    </border>
  </borders>
  <cellStyleXfs count="1">
    <xf numFmtId="0" fontId="0" fillId="0" borderId="0">
      <alignment vertical="center"/>
    </xf>
  </cellStyleXfs>
  <cellXfs count="25">
    <xf numFmtId="0" fontId="0" fillId="0" borderId="0" xfId="0">
      <alignment vertical="center"/>
    </xf>
    <xf numFmtId="0" fontId="3" fillId="0" borderId="0" xfId="0" applyFont="1">
      <alignment vertical="center"/>
    </xf>
    <xf numFmtId="0" fontId="4" fillId="0" borderId="0" xfId="0" applyFont="1">
      <alignment vertical="center"/>
    </xf>
    <xf numFmtId="0" fontId="3" fillId="2" borderId="0" xfId="0" applyFont="1" applyFill="1">
      <alignment vertical="center"/>
    </xf>
    <xf numFmtId="0" fontId="3" fillId="3" borderId="0" xfId="0" applyFont="1" applyFill="1">
      <alignment vertical="center"/>
    </xf>
    <xf numFmtId="0" fontId="5" fillId="0" borderId="0" xfId="0" applyFont="1">
      <alignment vertical="center"/>
    </xf>
    <xf numFmtId="0" fontId="6" fillId="0" borderId="0" xfId="0" applyFont="1">
      <alignment vertical="center"/>
    </xf>
    <xf numFmtId="0" fontId="3" fillId="0" borderId="0" xfId="0" applyFont="1" applyAlignment="1">
      <alignment horizontal="center" vertical="center" wrapText="1"/>
    </xf>
    <xf numFmtId="0" fontId="8" fillId="0" borderId="0" xfId="0" applyFont="1" applyAlignment="1">
      <alignment horizontal="center" vertical="center" wrapText="1"/>
    </xf>
    <xf numFmtId="0" fontId="3" fillId="4" borderId="0" xfId="0" applyFont="1" applyFill="1">
      <alignment vertical="center"/>
    </xf>
    <xf numFmtId="0" fontId="3" fillId="0" borderId="0" xfId="0" applyFont="1" applyAlignment="1">
      <alignment vertical="top" wrapText="1"/>
    </xf>
    <xf numFmtId="0" fontId="5" fillId="0" borderId="0" xfId="0" applyFont="1" applyAlignment="1">
      <alignment vertical="top" wrapText="1"/>
    </xf>
    <xf numFmtId="0" fontId="12" fillId="0" borderId="0" xfId="0" applyFont="1" applyAlignment="1">
      <alignment vertical="top" wrapText="1"/>
    </xf>
    <xf numFmtId="0" fontId="13" fillId="5" borderId="1" xfId="0" applyFont="1" applyFill="1" applyBorder="1">
      <alignment vertical="center"/>
    </xf>
    <xf numFmtId="0" fontId="13" fillId="5" borderId="2" xfId="0" applyFont="1" applyFill="1" applyBorder="1">
      <alignment vertical="center"/>
    </xf>
    <xf numFmtId="0" fontId="3" fillId="6" borderId="0" xfId="0" applyFont="1" applyFill="1">
      <alignment vertical="center"/>
    </xf>
    <xf numFmtId="0" fontId="13" fillId="0" borderId="1" xfId="0" applyFont="1" applyBorder="1">
      <alignment vertical="center"/>
    </xf>
    <xf numFmtId="0" fontId="13" fillId="3" borderId="2" xfId="0" applyFont="1" applyFill="1" applyBorder="1">
      <alignment vertical="center"/>
    </xf>
    <xf numFmtId="0" fontId="13" fillId="0" borderId="0" xfId="0" applyFont="1">
      <alignment vertical="center"/>
    </xf>
    <xf numFmtId="0" fontId="3" fillId="0" borderId="0" xfId="0" applyFont="1" applyAlignment="1">
      <alignment horizontal="center" vertical="center"/>
    </xf>
    <xf numFmtId="0" fontId="14" fillId="0" borderId="0" xfId="0" applyFont="1" applyAlignment="1">
      <alignment horizontal="center" vertical="center" wrapText="1"/>
    </xf>
    <xf numFmtId="0" fontId="3" fillId="0" borderId="0" xfId="0" applyNumberFormat="1" applyFont="1">
      <alignment vertical="center"/>
    </xf>
    <xf numFmtId="0" fontId="3" fillId="7" borderId="3" xfId="0" applyNumberFormat="1" applyFont="1" applyFill="1" applyBorder="1">
      <alignment vertical="center"/>
    </xf>
    <xf numFmtId="0" fontId="8" fillId="5" borderId="3" xfId="0" applyFont="1" applyFill="1" applyBorder="1" applyAlignment="1">
      <alignment horizontal="center" vertical="center" wrapText="1"/>
    </xf>
    <xf numFmtId="0" fontId="10" fillId="0" borderId="0" xfId="0" applyFont="1">
      <alignment vertical="center"/>
    </xf>
  </cellXfs>
  <cellStyles count="1">
    <cellStyle name="一般" xfId="0" builtinId="0"/>
  </cellStyles>
  <dxfs count="40">
    <dxf>
      <font>
        <strike val="0"/>
        <outline val="0"/>
        <shadow val="0"/>
        <u val="none"/>
        <vertAlign val="baseline"/>
        <sz val="12"/>
        <color theme="1"/>
        <name val="Calibri"/>
        <family val="2"/>
        <scheme val="none"/>
      </font>
      <numFmt numFmtId="0" formatCode="General"/>
    </dxf>
    <dxf>
      <font>
        <strike val="0"/>
        <outline val="0"/>
        <shadow val="0"/>
        <u val="none"/>
        <vertAlign val="baseline"/>
        <sz val="12"/>
        <color theme="1"/>
        <name val="Calibri"/>
        <family val="2"/>
        <scheme val="none"/>
      </font>
      <numFmt numFmtId="0" formatCode="General"/>
    </dxf>
    <dxf>
      <font>
        <strike val="0"/>
        <outline val="0"/>
        <shadow val="0"/>
        <u val="none"/>
        <vertAlign val="baseline"/>
        <sz val="12"/>
        <color theme="1"/>
        <name val="Calibri"/>
        <family val="2"/>
        <scheme val="none"/>
      </font>
      <numFmt numFmtId="0" formatCode="General"/>
    </dxf>
    <dxf>
      <font>
        <strike val="0"/>
        <outline val="0"/>
        <shadow val="0"/>
        <u val="none"/>
        <vertAlign val="baseline"/>
        <sz val="12"/>
        <color theme="1"/>
        <name val="Calibri"/>
        <family val="2"/>
        <scheme val="none"/>
      </font>
      <numFmt numFmtId="0" formatCode="General"/>
    </dxf>
    <dxf>
      <font>
        <strike val="0"/>
        <outline val="0"/>
        <shadow val="0"/>
        <u val="none"/>
        <vertAlign val="baseline"/>
        <sz val="12"/>
        <color theme="1"/>
        <name val="Calibri"/>
        <family val="2"/>
        <scheme val="none"/>
      </font>
      <numFmt numFmtId="0" formatCode="General"/>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numFmt numFmtId="0" formatCode="General"/>
    </dxf>
    <dxf>
      <font>
        <b val="0"/>
        <i val="0"/>
        <strike val="0"/>
        <condense val="0"/>
        <extend val="0"/>
        <outline val="0"/>
        <shadow val="0"/>
        <u val="none"/>
        <vertAlign val="baseline"/>
        <sz val="12"/>
        <color theme="1"/>
        <name val="Calibri"/>
        <family val="2"/>
        <scheme val="none"/>
      </font>
      <numFmt numFmtId="0" formatCode="General"/>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alignment horizontal="center" vertical="center" textRotation="0" wrapText="1" indent="0" justifyLastLine="0" shrinkToFit="0" readingOrder="0"/>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b/>
        <i val="0"/>
        <strike val="0"/>
        <condense val="0"/>
        <extend val="0"/>
        <outline val="0"/>
        <shadow val="0"/>
        <u val="none"/>
        <vertAlign val="baseline"/>
        <sz val="12"/>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b/>
        <i val="0"/>
        <strike val="0"/>
        <condense val="0"/>
        <extend val="0"/>
        <outline val="0"/>
        <shadow val="0"/>
        <u val="none"/>
        <vertAlign val="baseline"/>
        <sz val="12"/>
        <color theme="1"/>
        <name val="Calibri"/>
        <family val="2"/>
        <scheme val="none"/>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57552F-D026-4EAF-97C3-52DD25EAFC9C}" name="表格1" displayName="表格1" ref="A3:N261" totalsRowShown="0" headerRowDxfId="32" dataDxfId="31">
  <autoFilter ref="A3:N261" xr:uid="{DE57552F-D026-4EAF-97C3-52DD25EAFC9C}"/>
  <sortState xmlns:xlrd2="http://schemas.microsoft.com/office/spreadsheetml/2017/richdata2" ref="A4:J97">
    <sortCondition ref="B3:B97"/>
  </sortState>
  <tableColumns count="14">
    <tableColumn id="3" xr3:uid="{9F4CF7F5-2A93-4AB2-B6A9-ADD9938F5AA8}" name="ID" dataDxfId="30"/>
    <tableColumn id="1" xr3:uid="{2F06CBD1-1A4C-4DC5-BCE4-F3C9A79DC3E9}" name="Cuisine" dataDxfId="29"/>
    <tableColumn id="2" xr3:uid="{7EC406AA-A572-4016-9E5B-51B700036584}" name="Diet" dataDxfId="28"/>
    <tableColumn id="9" xr3:uid="{D9CE8FCA-CFAD-4F3F-8F01-0C4484946BEA}" name="Dish" dataDxfId="27"/>
    <tableColumn id="10" xr3:uid="{673F4675-BEEE-412A-A6CB-20E6D1E799D8}" name="Breakfast" dataDxfId="26"/>
    <tableColumn id="12" xr3:uid="{D37C5B0D-12C6-4CB3-BB80-08C12E6E49B6}" name="Lunch" dataDxfId="25"/>
    <tableColumn id="13" xr3:uid="{E25F656B-1F18-455E-87D7-5C9D9B0097A5}" name="Dinner" dataDxfId="24"/>
    <tableColumn id="17" xr3:uid="{BA985DFD-A4E6-404F-8823-002672B31C18}" name="Light Meal" dataDxfId="23"/>
    <tableColumn id="5" xr3:uid="{A034FE6E-ED0A-4EFB-8D1C-030735AED3C9}" name="Main Protein" dataDxfId="22"/>
    <tableColumn id="6" xr3:uid="{AA4E79D0-DAC8-43FF-A045-39E8C3C9F5CD}" name="Dish Role" dataDxfId="21"/>
    <tableColumn id="15" xr3:uid="{3C0D36C0-00D9-469A-9A08-C9CBF82D88AE}" name="Taste" dataDxfId="20"/>
    <tableColumn id="7" xr3:uid="{23809AC8-474B-40F8-84CF-2D42F7BE1C9D}" name="Expire(day)" dataDxfId="19"/>
    <tableColumn id="8" xr3:uid="{FA20BD4E-AF4A-4273-8F29-845E2CF561A3}" name="Season" dataDxfId="18"/>
    <tableColumn id="4" xr3:uid="{63A3F435-6F07-4F3F-B146-E824E495A1E4}" name="Credit to"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96439F3-B3A1-473D-9915-B886E9B53018}" name="Ingredient" displayName="Ingredient" ref="A1:F128" totalsRowShown="0" headerRowDxfId="39" dataDxfId="38">
  <autoFilter ref="A1:F128" xr:uid="{F96439F3-B3A1-473D-9915-B886E9B53018}"/>
  <tableColumns count="6">
    <tableColumn id="6" xr3:uid="{58A7CCA8-AF26-4A8B-A664-D4C96E7F3BA0}" name="菜名" dataDxfId="1">
      <calculatedColumnFormula>_xlfn.XLOOKUP(B2,表格1[ID],表格1[Dish])</calculatedColumnFormula>
    </tableColumn>
    <tableColumn id="1" xr3:uid="{A6A630D5-6539-4FF3-B245-912977C8CE8E}" name="菜ID" dataDxfId="37"/>
    <tableColumn id="2" xr3:uid="{7FF92CF3-2FA9-443E-A760-2445AFCE472F}" name="類別" dataDxfId="36"/>
    <tableColumn id="3" xr3:uid="{B6463011-9D01-408A-B1FD-EFFF47425583}" name="材料" dataDxfId="35"/>
    <tableColumn id="4" xr3:uid="{D7F5CA09-47D7-42CF-A952-E2A34C8C4E30}" name="份量" dataDxfId="34"/>
    <tableColumn id="5" xr3:uid="{5A3FFFB1-F501-42BF-9602-AEB98CE8DA0C}" name="單位" dataDxfId="3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074EDE5-B150-4BED-8B77-BE077FDDFB58}" name="Steps" displayName="Steps" ref="A1:G60" totalsRowShown="0" headerRowDxfId="16" dataDxfId="15">
  <autoFilter ref="A1:G60" xr:uid="{2074EDE5-B150-4BED-8B77-BE077FDDFB58}"/>
  <tableColumns count="7">
    <tableColumn id="7" xr3:uid="{8937EE16-F967-45A6-AF51-C240F6B491BF}" name="菜名" dataDxfId="0">
      <calculatedColumnFormula>_xlfn.XLOOKUP(B2,表格1[ID],表格1[Dish])</calculatedColumnFormula>
    </tableColumn>
    <tableColumn id="1" xr3:uid="{AC7DEC1F-B731-454F-AA1D-E750167F5368}" name="菜ID" dataDxfId="14"/>
    <tableColumn id="2" xr3:uid="{2744473D-171F-4C43-A114-19D6A681227C}" name="步驟" dataDxfId="13"/>
    <tableColumn id="3" xr3:uid="{20B9130A-A6FF-4BB1-87D8-CC9721812699}" name="內容" dataDxfId="12"/>
    <tableColumn id="4" xr3:uid="{411CC2E6-8569-4ECA-98BF-CCC04F47DC15}" name="Step_EN" dataDxfId="4">
      <calculatedColumnFormula>_xlfn.TRANSLATE(Steps[[#This Row],[內容]],"zh-cht","en")</calculatedColumnFormula>
    </tableColumn>
    <tableColumn id="5" xr3:uid="{22A65150-E75D-4C7D-8847-4B10A2AB24D8}" name="Step_FIL" dataDxfId="3">
      <calculatedColumnFormula>_xlfn.TRANSLATE(Steps[[#This Row],[內容]],"zh-cht","fil")</calculatedColumnFormula>
    </tableColumn>
    <tableColumn id="6" xr3:uid="{35BFC7E5-F93E-4F1D-8329-895464FC606A}" name="Step_ID" dataDxfId="2">
      <calculatedColumnFormula>_xlfn.TRANSLATE(Steps[[#This Row],[內容]],"zh-cht","id")</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B73EB78-A9E2-4560-A3F8-B02077E7EB70}" name="ingredient_unit" displayName="ingredient_unit" ref="A1:F74" totalsRowShown="0" headerRowDxfId="11" dataDxfId="10">
  <autoFilter ref="A1:F74" xr:uid="{9B73EB78-A9E2-4560-A3F8-B02077E7EB70}"/>
  <sortState xmlns:xlrd2="http://schemas.microsoft.com/office/spreadsheetml/2017/richdata2" ref="A2:F50">
    <sortCondition ref="A1:A50"/>
  </sortState>
  <tableColumns count="6">
    <tableColumn id="1" xr3:uid="{D45EE57C-5C1F-42B3-A305-D4C61E8DF2E9}" name="材料"/>
    <tableColumn id="2" xr3:uid="{C40C7E82-CCDD-408C-84C3-2A14B1ABC4C5}" name="英文" dataDxfId="9"/>
    <tableColumn id="3" xr3:uid="{6E0DB701-5A73-4C5B-A78A-67E14A93CA5C}" name="Filipino" dataDxfId="8">
      <calculatedColumnFormula>_xlfn.TRANSLATE(ingredient_unit[[#This Row],[材料]],"zh-cht","fil")</calculatedColumnFormula>
    </tableColumn>
    <tableColumn id="4" xr3:uid="{DB27FC22-78DB-4C93-BC55-A2A340CDB570}" name="Bahasa" dataDxfId="7">
      <calculatedColumnFormula>_xlfn.TRANSLATE(ingredient_unit[[#This Row],[材料]],"zh-cht","id")</calculatedColumnFormula>
    </tableColumn>
    <tableColumn id="5" xr3:uid="{3103CB67-8224-4FF9-B0D4-00AF214CE6C9}" name="類別" dataDxfId="6"/>
    <tableColumn id="6" xr3:uid="{7F65B4DE-DCF1-4E5A-954A-E2A0F11C54CB}" name="常用單位" dataDxfId="5"/>
  </tableColumns>
  <tableStyleInfo name="TableStyleMedium2"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412AC-E9BF-454E-9D30-1552A11FEC1A}">
  <dimension ref="A1:P261"/>
  <sheetViews>
    <sheetView tabSelected="1" zoomScale="85" zoomScaleNormal="85" workbookViewId="0">
      <pane ySplit="3" topLeftCell="A76" activePane="bottomLeft" state="frozen"/>
      <selection pane="bottomLeft" activeCell="D77" sqref="D77"/>
    </sheetView>
  </sheetViews>
  <sheetFormatPr defaultRowHeight="17" x14ac:dyDescent="0.4"/>
  <cols>
    <col min="1" max="1" width="11" style="1" bestFit="1" customWidth="1"/>
    <col min="2" max="2" width="10.1796875" style="1" bestFit="1" customWidth="1"/>
    <col min="3" max="3" width="10" style="1" bestFit="1" customWidth="1"/>
    <col min="4" max="4" width="33.54296875" style="1" bestFit="1" customWidth="1"/>
    <col min="5" max="5" width="12.6328125" style="1" bestFit="1" customWidth="1"/>
    <col min="6" max="7" width="10" style="1" customWidth="1"/>
    <col min="8" max="8" width="13.08984375" style="1" bestFit="1" customWidth="1"/>
    <col min="9" max="9" width="13.453125" style="1" bestFit="1" customWidth="1"/>
    <col min="10" max="10" width="10.54296875" style="1" bestFit="1" customWidth="1"/>
    <col min="11" max="12" width="8.7265625" style="1"/>
    <col min="13" max="13" width="13.36328125" style="1" bestFit="1" customWidth="1"/>
    <col min="14" max="14" width="26.54296875" style="1" bestFit="1" customWidth="1"/>
    <col min="16" max="16384" width="8.7265625" style="1"/>
  </cols>
  <sheetData>
    <row r="1" spans="1:14" x14ac:dyDescent="0.4">
      <c r="A1" s="9" t="s">
        <v>343</v>
      </c>
      <c r="B1" s="1" t="s">
        <v>0</v>
      </c>
      <c r="C1" s="5" t="s">
        <v>116</v>
      </c>
      <c r="D1" s="1" t="s">
        <v>2</v>
      </c>
      <c r="E1" s="19" t="s">
        <v>21</v>
      </c>
      <c r="F1" s="19"/>
      <c r="G1" s="19"/>
      <c r="H1" s="19"/>
      <c r="I1" s="2" t="s">
        <v>122</v>
      </c>
      <c r="J1" s="2" t="s">
        <v>123</v>
      </c>
      <c r="K1" s="2" t="s">
        <v>558</v>
      </c>
      <c r="M1" s="2" t="s">
        <v>118</v>
      </c>
      <c r="N1" s="2"/>
    </row>
    <row r="2" spans="1:14" x14ac:dyDescent="0.4">
      <c r="H2" s="2" t="s">
        <v>112</v>
      </c>
    </row>
    <row r="3" spans="1:14" x14ac:dyDescent="0.4">
      <c r="A3" s="1" t="s">
        <v>713</v>
      </c>
      <c r="B3" s="1" t="s">
        <v>714</v>
      </c>
      <c r="C3" s="4" t="s">
        <v>115</v>
      </c>
      <c r="D3" s="15" t="s">
        <v>1</v>
      </c>
      <c r="E3" s="3" t="s">
        <v>22</v>
      </c>
      <c r="F3" s="3" t="s">
        <v>23</v>
      </c>
      <c r="G3" s="3" t="s">
        <v>24</v>
      </c>
      <c r="H3" s="3" t="s">
        <v>113</v>
      </c>
      <c r="I3" s="1" t="s">
        <v>127</v>
      </c>
      <c r="J3" s="1" t="s">
        <v>126</v>
      </c>
      <c r="K3" s="1" t="s">
        <v>559</v>
      </c>
      <c r="L3" s="1" t="s">
        <v>540</v>
      </c>
      <c r="M3" s="1" t="s">
        <v>117</v>
      </c>
      <c r="N3" s="1" t="s">
        <v>708</v>
      </c>
    </row>
    <row r="4" spans="1:14" x14ac:dyDescent="0.4">
      <c r="A4" s="9" t="s">
        <v>129</v>
      </c>
      <c r="B4" s="1" t="s">
        <v>3</v>
      </c>
      <c r="C4" s="2" t="s">
        <v>114</v>
      </c>
      <c r="D4" s="1" t="s">
        <v>4</v>
      </c>
      <c r="E4" s="1" t="s">
        <v>566</v>
      </c>
      <c r="F4" s="1" t="s">
        <v>6</v>
      </c>
      <c r="G4" s="1" t="s">
        <v>6</v>
      </c>
      <c r="H4" s="1" t="s">
        <v>7</v>
      </c>
      <c r="I4" s="2" t="s">
        <v>232</v>
      </c>
      <c r="J4" s="2" t="s">
        <v>231</v>
      </c>
      <c r="K4" s="1" t="s">
        <v>562</v>
      </c>
      <c r="M4" s="2" t="s">
        <v>119</v>
      </c>
    </row>
    <row r="5" spans="1:14" x14ac:dyDescent="0.4">
      <c r="A5" s="1" t="s">
        <v>130</v>
      </c>
      <c r="B5" s="1" t="s">
        <v>3</v>
      </c>
      <c r="C5" s="1" t="s">
        <v>18</v>
      </c>
      <c r="D5" s="1" t="s">
        <v>8</v>
      </c>
      <c r="E5" s="1" t="s">
        <v>566</v>
      </c>
      <c r="F5" s="1" t="s">
        <v>6</v>
      </c>
      <c r="G5" s="1" t="s">
        <v>6</v>
      </c>
      <c r="H5" s="1" t="s">
        <v>7</v>
      </c>
      <c r="I5" s="2" t="s">
        <v>233</v>
      </c>
      <c r="J5" s="2" t="s">
        <v>251</v>
      </c>
      <c r="K5" s="1" t="s">
        <v>562</v>
      </c>
      <c r="M5" s="2" t="s">
        <v>119</v>
      </c>
    </row>
    <row r="6" spans="1:14" x14ac:dyDescent="0.4">
      <c r="A6" s="1" t="s">
        <v>131</v>
      </c>
      <c r="B6" s="1" t="s">
        <v>3</v>
      </c>
      <c r="C6" s="2" t="s">
        <v>114</v>
      </c>
      <c r="D6" s="1" t="s">
        <v>9</v>
      </c>
      <c r="E6" s="1" t="s">
        <v>566</v>
      </c>
      <c r="F6" s="1" t="s">
        <v>6</v>
      </c>
      <c r="G6" s="1" t="s">
        <v>6</v>
      </c>
      <c r="H6" s="1" t="s">
        <v>7</v>
      </c>
      <c r="I6" s="2" t="s">
        <v>233</v>
      </c>
      <c r="J6" s="2" t="s">
        <v>251</v>
      </c>
      <c r="K6" s="1" t="s">
        <v>562</v>
      </c>
      <c r="M6" s="2" t="s">
        <v>119</v>
      </c>
    </row>
    <row r="7" spans="1:14" x14ac:dyDescent="0.4">
      <c r="A7" s="1" t="s">
        <v>132</v>
      </c>
      <c r="B7" s="1" t="s">
        <v>3</v>
      </c>
      <c r="C7" s="2" t="s">
        <v>114</v>
      </c>
      <c r="D7" s="1" t="s">
        <v>10</v>
      </c>
      <c r="E7" s="1" t="s">
        <v>566</v>
      </c>
      <c r="G7" s="1" t="s">
        <v>6</v>
      </c>
      <c r="H7" s="1" t="s">
        <v>7</v>
      </c>
      <c r="I7" s="2" t="s">
        <v>234</v>
      </c>
      <c r="J7" s="2" t="s">
        <v>231</v>
      </c>
      <c r="K7" s="1" t="s">
        <v>560</v>
      </c>
      <c r="L7" s="1">
        <v>1</v>
      </c>
      <c r="M7" s="2" t="s">
        <v>119</v>
      </c>
    </row>
    <row r="8" spans="1:14" x14ac:dyDescent="0.4">
      <c r="A8" s="1" t="s">
        <v>133</v>
      </c>
      <c r="B8" s="1" t="s">
        <v>3</v>
      </c>
      <c r="C8" s="2" t="s">
        <v>114</v>
      </c>
      <c r="D8" s="1" t="s">
        <v>11</v>
      </c>
      <c r="E8" s="1" t="s">
        <v>566</v>
      </c>
      <c r="F8" s="1" t="s">
        <v>6</v>
      </c>
      <c r="G8" s="1" t="s">
        <v>6</v>
      </c>
      <c r="H8" s="1" t="s">
        <v>7</v>
      </c>
      <c r="I8" s="2" t="s">
        <v>234</v>
      </c>
      <c r="J8" s="2" t="s">
        <v>231</v>
      </c>
      <c r="K8" s="1" t="s">
        <v>562</v>
      </c>
      <c r="M8" s="2" t="s">
        <v>119</v>
      </c>
    </row>
    <row r="9" spans="1:14" x14ac:dyDescent="0.4">
      <c r="A9" s="9" t="s">
        <v>134</v>
      </c>
      <c r="B9" s="1" t="s">
        <v>3</v>
      </c>
      <c r="C9" s="2" t="s">
        <v>114</v>
      </c>
      <c r="D9" s="1" t="s">
        <v>14</v>
      </c>
      <c r="E9" s="1" t="s">
        <v>566</v>
      </c>
      <c r="F9" s="1" t="s">
        <v>6</v>
      </c>
      <c r="G9" s="1" t="s">
        <v>6</v>
      </c>
      <c r="H9" s="1" t="s">
        <v>7</v>
      </c>
      <c r="I9" s="2" t="s">
        <v>253</v>
      </c>
      <c r="J9" s="2" t="s">
        <v>251</v>
      </c>
      <c r="K9" s="1" t="s">
        <v>560</v>
      </c>
      <c r="L9" s="1">
        <v>2</v>
      </c>
      <c r="M9" s="2" t="s">
        <v>119</v>
      </c>
    </row>
    <row r="10" spans="1:14" x14ac:dyDescent="0.4">
      <c r="A10" s="9" t="s">
        <v>135</v>
      </c>
      <c r="B10" s="1" t="s">
        <v>3</v>
      </c>
      <c r="C10" s="1" t="s">
        <v>17</v>
      </c>
      <c r="D10" s="1" t="s">
        <v>15</v>
      </c>
      <c r="E10" s="1" t="s">
        <v>566</v>
      </c>
      <c r="F10" s="1" t="s">
        <v>6</v>
      </c>
      <c r="G10" s="1" t="s">
        <v>6</v>
      </c>
      <c r="H10" s="1" t="s">
        <v>7</v>
      </c>
      <c r="I10" s="2" t="s">
        <v>254</v>
      </c>
      <c r="J10" s="2" t="s">
        <v>251</v>
      </c>
      <c r="K10" s="1" t="s">
        <v>564</v>
      </c>
      <c r="M10" s="2" t="s">
        <v>119</v>
      </c>
    </row>
    <row r="11" spans="1:14" x14ac:dyDescent="0.4">
      <c r="A11" s="9" t="s">
        <v>136</v>
      </c>
      <c r="B11" s="1" t="s">
        <v>3</v>
      </c>
      <c r="C11" s="1" t="s">
        <v>18</v>
      </c>
      <c r="D11" s="1" t="s">
        <v>16</v>
      </c>
      <c r="E11" s="1" t="s">
        <v>566</v>
      </c>
      <c r="F11" s="1" t="s">
        <v>6</v>
      </c>
      <c r="G11" s="1" t="s">
        <v>6</v>
      </c>
      <c r="H11" s="1" t="s">
        <v>7</v>
      </c>
      <c r="I11" s="2" t="s">
        <v>233</v>
      </c>
      <c r="J11" s="2" t="s">
        <v>479</v>
      </c>
      <c r="K11" s="1" t="s">
        <v>560</v>
      </c>
      <c r="M11" s="2" t="s">
        <v>119</v>
      </c>
    </row>
    <row r="12" spans="1:14" x14ac:dyDescent="0.4">
      <c r="A12" s="1" t="s">
        <v>137</v>
      </c>
      <c r="B12" s="1" t="s">
        <v>3</v>
      </c>
      <c r="C12" s="1" t="s">
        <v>18</v>
      </c>
      <c r="D12" s="1" t="s">
        <v>31</v>
      </c>
      <c r="E12" s="1" t="s">
        <v>566</v>
      </c>
      <c r="H12" s="1" t="s">
        <v>7</v>
      </c>
      <c r="I12" s="2" t="s">
        <v>253</v>
      </c>
      <c r="J12" s="2" t="s">
        <v>252</v>
      </c>
      <c r="K12" s="1" t="s">
        <v>566</v>
      </c>
      <c r="M12" s="2" t="s">
        <v>120</v>
      </c>
    </row>
    <row r="13" spans="1:14" x14ac:dyDescent="0.4">
      <c r="A13" s="9" t="s">
        <v>138</v>
      </c>
      <c r="B13" s="1" t="s">
        <v>3</v>
      </c>
      <c r="C13" s="2" t="s">
        <v>114</v>
      </c>
      <c r="D13" s="1" t="s">
        <v>37</v>
      </c>
      <c r="E13" s="1" t="s">
        <v>566</v>
      </c>
      <c r="F13" s="1" t="s">
        <v>7</v>
      </c>
      <c r="G13" s="1" t="s">
        <v>6</v>
      </c>
      <c r="H13" s="1" t="s">
        <v>7</v>
      </c>
      <c r="I13" s="2" t="s">
        <v>234</v>
      </c>
      <c r="J13" s="2" t="s">
        <v>231</v>
      </c>
      <c r="K13" s="1" t="s">
        <v>560</v>
      </c>
      <c r="M13" s="2" t="s">
        <v>120</v>
      </c>
    </row>
    <row r="14" spans="1:14" x14ac:dyDescent="0.4">
      <c r="A14" s="9" t="s">
        <v>139</v>
      </c>
      <c r="B14" s="1" t="s">
        <v>3</v>
      </c>
      <c r="C14" s="2" t="s">
        <v>114</v>
      </c>
      <c r="D14" s="1" t="s">
        <v>38</v>
      </c>
      <c r="E14" s="1" t="s">
        <v>566</v>
      </c>
      <c r="F14" s="1" t="s">
        <v>6</v>
      </c>
      <c r="G14" s="1" t="s">
        <v>6</v>
      </c>
      <c r="H14" s="1" t="s">
        <v>7</v>
      </c>
      <c r="I14" s="2" t="s">
        <v>235</v>
      </c>
      <c r="J14" s="2" t="s">
        <v>251</v>
      </c>
      <c r="K14" s="1" t="s">
        <v>560</v>
      </c>
      <c r="M14" s="2" t="s">
        <v>119</v>
      </c>
    </row>
    <row r="15" spans="1:14" x14ac:dyDescent="0.4">
      <c r="A15" s="9" t="s">
        <v>140</v>
      </c>
      <c r="B15" s="1" t="s">
        <v>3</v>
      </c>
      <c r="C15" s="1" t="s">
        <v>17</v>
      </c>
      <c r="D15" s="1" t="s">
        <v>39</v>
      </c>
      <c r="E15" s="1" t="s">
        <v>566</v>
      </c>
      <c r="F15" s="1" t="s">
        <v>6</v>
      </c>
      <c r="G15" s="1" t="s">
        <v>6</v>
      </c>
      <c r="H15" s="1" t="s">
        <v>7</v>
      </c>
      <c r="I15" s="2" t="s">
        <v>254</v>
      </c>
      <c r="J15" s="2" t="s">
        <v>251</v>
      </c>
      <c r="K15" s="1" t="s">
        <v>560</v>
      </c>
      <c r="M15" s="2" t="s">
        <v>121</v>
      </c>
    </row>
    <row r="16" spans="1:14" x14ac:dyDescent="0.4">
      <c r="A16" s="1" t="s">
        <v>141</v>
      </c>
      <c r="B16" s="1" t="s">
        <v>3</v>
      </c>
      <c r="C16" s="1" t="s">
        <v>17</v>
      </c>
      <c r="D16" s="1" t="s">
        <v>40</v>
      </c>
      <c r="E16" s="1" t="s">
        <v>566</v>
      </c>
      <c r="F16" s="1" t="s">
        <v>6</v>
      </c>
      <c r="H16" s="1" t="s">
        <v>7</v>
      </c>
      <c r="I16" s="2" t="s">
        <v>254</v>
      </c>
      <c r="J16" s="2" t="s">
        <v>251</v>
      </c>
      <c r="K16" s="1" t="s">
        <v>562</v>
      </c>
      <c r="M16" s="2" t="s">
        <v>121</v>
      </c>
    </row>
    <row r="17" spans="1:13" x14ac:dyDescent="0.4">
      <c r="A17" s="1" t="s">
        <v>142</v>
      </c>
      <c r="B17" s="1" t="s">
        <v>3</v>
      </c>
      <c r="C17" s="2" t="s">
        <v>114</v>
      </c>
      <c r="D17" s="1" t="s">
        <v>41</v>
      </c>
      <c r="E17" s="1" t="s">
        <v>566</v>
      </c>
      <c r="F17" s="1" t="s">
        <v>6</v>
      </c>
      <c r="H17" s="1" t="s">
        <v>7</v>
      </c>
      <c r="I17" s="2" t="s">
        <v>235</v>
      </c>
      <c r="J17" s="2" t="s">
        <v>251</v>
      </c>
      <c r="K17" s="1" t="s">
        <v>560</v>
      </c>
      <c r="M17" s="2" t="s">
        <v>121</v>
      </c>
    </row>
    <row r="18" spans="1:13" x14ac:dyDescent="0.4">
      <c r="A18" s="1" t="s">
        <v>143</v>
      </c>
      <c r="B18" s="1" t="s">
        <v>3</v>
      </c>
      <c r="C18" s="2" t="s">
        <v>114</v>
      </c>
      <c r="D18" s="1" t="s">
        <v>42</v>
      </c>
      <c r="E18" s="1" t="s">
        <v>566</v>
      </c>
      <c r="H18" s="1" t="s">
        <v>7</v>
      </c>
      <c r="I18" s="2" t="s">
        <v>232</v>
      </c>
      <c r="J18" s="2" t="s">
        <v>476</v>
      </c>
      <c r="K18" s="1" t="s">
        <v>566</v>
      </c>
    </row>
    <row r="19" spans="1:13" x14ac:dyDescent="0.4">
      <c r="A19" s="1" t="s">
        <v>144</v>
      </c>
      <c r="B19" s="1" t="s">
        <v>3</v>
      </c>
      <c r="C19" s="2" t="s">
        <v>114</v>
      </c>
      <c r="D19" s="1" t="s">
        <v>43</v>
      </c>
      <c r="E19" s="1" t="s">
        <v>566</v>
      </c>
      <c r="H19" s="1" t="s">
        <v>7</v>
      </c>
      <c r="I19" s="2" t="s">
        <v>232</v>
      </c>
      <c r="J19" s="2" t="s">
        <v>476</v>
      </c>
      <c r="K19" s="1" t="s">
        <v>566</v>
      </c>
    </row>
    <row r="20" spans="1:13" x14ac:dyDescent="0.4">
      <c r="A20" s="1" t="s">
        <v>145</v>
      </c>
      <c r="B20" s="1" t="s">
        <v>3</v>
      </c>
      <c r="C20" s="2" t="s">
        <v>114</v>
      </c>
      <c r="D20" s="1" t="s">
        <v>44</v>
      </c>
      <c r="E20" s="1" t="s">
        <v>566</v>
      </c>
      <c r="H20" s="1" t="s">
        <v>7</v>
      </c>
      <c r="I20" s="2" t="s">
        <v>232</v>
      </c>
      <c r="J20" s="2" t="s">
        <v>476</v>
      </c>
      <c r="K20" s="1" t="s">
        <v>566</v>
      </c>
    </row>
    <row r="21" spans="1:13" x14ac:dyDescent="0.4">
      <c r="A21" s="1" t="s">
        <v>146</v>
      </c>
      <c r="B21" s="1" t="s">
        <v>3</v>
      </c>
      <c r="C21" s="2" t="s">
        <v>114</v>
      </c>
      <c r="D21" s="1" t="s">
        <v>45</v>
      </c>
      <c r="E21" s="1" t="s">
        <v>566</v>
      </c>
      <c r="H21" s="1" t="s">
        <v>7</v>
      </c>
      <c r="I21" s="2" t="s">
        <v>232</v>
      </c>
      <c r="J21" s="2" t="s">
        <v>476</v>
      </c>
      <c r="K21" s="1" t="s">
        <v>566</v>
      </c>
    </row>
    <row r="22" spans="1:13" x14ac:dyDescent="0.4">
      <c r="A22" s="1" t="s">
        <v>147</v>
      </c>
      <c r="B22" s="1" t="s">
        <v>3</v>
      </c>
      <c r="C22" s="1" t="s">
        <v>18</v>
      </c>
      <c r="D22" s="1" t="s">
        <v>46</v>
      </c>
      <c r="E22" s="1" t="s">
        <v>566</v>
      </c>
      <c r="H22" s="1" t="s">
        <v>7</v>
      </c>
      <c r="I22" s="2" t="s">
        <v>255</v>
      </c>
      <c r="J22" s="2" t="s">
        <v>252</v>
      </c>
      <c r="K22" s="1" t="s">
        <v>566</v>
      </c>
    </row>
    <row r="23" spans="1:13" x14ac:dyDescent="0.4">
      <c r="A23" s="1" t="s">
        <v>148</v>
      </c>
      <c r="B23" s="1" t="s">
        <v>3</v>
      </c>
      <c r="C23" s="2" t="s">
        <v>114</v>
      </c>
      <c r="D23" s="1" t="s">
        <v>47</v>
      </c>
      <c r="E23" s="1" t="s">
        <v>566</v>
      </c>
      <c r="F23" s="1" t="s">
        <v>6</v>
      </c>
      <c r="G23" s="1" t="s">
        <v>6</v>
      </c>
      <c r="H23" s="1" t="s">
        <v>7</v>
      </c>
      <c r="I23" s="2" t="s">
        <v>232</v>
      </c>
      <c r="J23" s="2" t="s">
        <v>231</v>
      </c>
      <c r="K23" s="1" t="s">
        <v>560</v>
      </c>
    </row>
    <row r="24" spans="1:13" x14ac:dyDescent="0.4">
      <c r="A24" s="1" t="s">
        <v>149</v>
      </c>
      <c r="B24" s="1" t="s">
        <v>3</v>
      </c>
      <c r="C24" s="2" t="s">
        <v>114</v>
      </c>
      <c r="D24" s="1" t="s">
        <v>48</v>
      </c>
      <c r="E24" s="1" t="s">
        <v>566</v>
      </c>
      <c r="F24" s="1" t="s">
        <v>6</v>
      </c>
      <c r="G24" s="1" t="s">
        <v>6</v>
      </c>
      <c r="H24" s="1" t="s">
        <v>7</v>
      </c>
      <c r="I24" s="2" t="s">
        <v>232</v>
      </c>
      <c r="J24" s="2" t="s">
        <v>251</v>
      </c>
      <c r="K24" s="1" t="s">
        <v>562</v>
      </c>
    </row>
    <row r="25" spans="1:13" x14ac:dyDescent="0.4">
      <c r="A25" s="1" t="s">
        <v>150</v>
      </c>
      <c r="B25" s="1" t="s">
        <v>3</v>
      </c>
      <c r="C25" s="2" t="s">
        <v>114</v>
      </c>
      <c r="D25" s="1" t="s">
        <v>52</v>
      </c>
      <c r="E25" s="1" t="s">
        <v>566</v>
      </c>
      <c r="F25" s="1" t="s">
        <v>6</v>
      </c>
      <c r="G25" s="1" t="s">
        <v>6</v>
      </c>
      <c r="H25" s="1" t="s">
        <v>7</v>
      </c>
      <c r="I25" s="2" t="s">
        <v>236</v>
      </c>
      <c r="J25" s="2" t="s">
        <v>231</v>
      </c>
      <c r="K25" s="1" t="s">
        <v>560</v>
      </c>
      <c r="M25" s="2" t="s">
        <v>120</v>
      </c>
    </row>
    <row r="26" spans="1:13" x14ac:dyDescent="0.4">
      <c r="A26" s="1" t="s">
        <v>151</v>
      </c>
      <c r="B26" s="1" t="s">
        <v>3</v>
      </c>
      <c r="C26" s="2" t="s">
        <v>114</v>
      </c>
      <c r="D26" s="1" t="s">
        <v>53</v>
      </c>
      <c r="E26" s="1" t="s">
        <v>566</v>
      </c>
      <c r="F26" s="1" t="s">
        <v>6</v>
      </c>
      <c r="G26" s="1" t="s">
        <v>6</v>
      </c>
      <c r="H26" s="1" t="s">
        <v>7</v>
      </c>
      <c r="I26" s="2" t="s">
        <v>232</v>
      </c>
      <c r="J26" s="2" t="s">
        <v>231</v>
      </c>
      <c r="K26" s="1" t="s">
        <v>560</v>
      </c>
      <c r="M26" s="2" t="s">
        <v>120</v>
      </c>
    </row>
    <row r="27" spans="1:13" x14ac:dyDescent="0.4">
      <c r="A27" s="1" t="s">
        <v>152</v>
      </c>
      <c r="B27" s="1" t="s">
        <v>3</v>
      </c>
      <c r="C27" s="2" t="s">
        <v>114</v>
      </c>
      <c r="D27" s="6" t="s">
        <v>124</v>
      </c>
      <c r="E27" s="1" t="s">
        <v>566</v>
      </c>
      <c r="H27" s="1" t="s">
        <v>7</v>
      </c>
      <c r="I27" s="2" t="s">
        <v>232</v>
      </c>
      <c r="J27" s="2" t="s">
        <v>476</v>
      </c>
      <c r="K27" s="1" t="s">
        <v>566</v>
      </c>
    </row>
    <row r="28" spans="1:13" x14ac:dyDescent="0.4">
      <c r="A28" s="1" t="s">
        <v>153</v>
      </c>
      <c r="B28" s="1" t="s">
        <v>3</v>
      </c>
      <c r="C28" s="2" t="s">
        <v>114</v>
      </c>
      <c r="D28" s="1" t="s">
        <v>61</v>
      </c>
      <c r="E28" s="1" t="s">
        <v>566</v>
      </c>
      <c r="H28" s="1" t="s">
        <v>7</v>
      </c>
      <c r="I28" s="2" t="s">
        <v>235</v>
      </c>
      <c r="J28" s="2" t="s">
        <v>231</v>
      </c>
      <c r="K28" s="1" t="s">
        <v>560</v>
      </c>
    </row>
    <row r="29" spans="1:13" x14ac:dyDescent="0.4">
      <c r="A29" s="1" t="s">
        <v>154</v>
      </c>
      <c r="B29" s="1" t="s">
        <v>3</v>
      </c>
      <c r="C29" s="2" t="s">
        <v>473</v>
      </c>
      <c r="D29" s="1" t="s">
        <v>70</v>
      </c>
      <c r="E29" s="1" t="s">
        <v>566</v>
      </c>
      <c r="I29" s="2" t="s">
        <v>254</v>
      </c>
      <c r="J29" s="2" t="s">
        <v>251</v>
      </c>
      <c r="K29" s="1" t="s">
        <v>564</v>
      </c>
    </row>
    <row r="30" spans="1:13" x14ac:dyDescent="0.4">
      <c r="A30" s="1" t="s">
        <v>155</v>
      </c>
      <c r="B30" s="1" t="s">
        <v>3</v>
      </c>
      <c r="C30" s="2" t="s">
        <v>473</v>
      </c>
      <c r="D30" s="1" t="s">
        <v>71</v>
      </c>
      <c r="E30" s="1" t="s">
        <v>566</v>
      </c>
      <c r="I30" s="2" t="s">
        <v>254</v>
      </c>
      <c r="J30" s="2" t="s">
        <v>251</v>
      </c>
      <c r="K30" s="1" t="s">
        <v>560</v>
      </c>
    </row>
    <row r="31" spans="1:13" x14ac:dyDescent="0.4">
      <c r="A31" s="1" t="s">
        <v>156</v>
      </c>
      <c r="B31" s="1" t="s">
        <v>3</v>
      </c>
      <c r="C31" s="2" t="s">
        <v>114</v>
      </c>
      <c r="D31" s="1" t="s">
        <v>73</v>
      </c>
      <c r="E31" s="1" t="s">
        <v>566</v>
      </c>
      <c r="I31" s="2" t="s">
        <v>232</v>
      </c>
      <c r="J31" s="2" t="s">
        <v>231</v>
      </c>
      <c r="K31" s="1" t="s">
        <v>560</v>
      </c>
      <c r="M31" s="2" t="s">
        <v>121</v>
      </c>
    </row>
    <row r="32" spans="1:13" x14ac:dyDescent="0.4">
      <c r="A32" s="1" t="s">
        <v>157</v>
      </c>
      <c r="B32" s="1" t="s">
        <v>3</v>
      </c>
      <c r="C32" s="2" t="s">
        <v>473</v>
      </c>
      <c r="D32" s="1" t="s">
        <v>74</v>
      </c>
      <c r="E32" s="1" t="s">
        <v>566</v>
      </c>
      <c r="I32" s="2" t="s">
        <v>254</v>
      </c>
      <c r="J32" s="2" t="s">
        <v>251</v>
      </c>
      <c r="K32" s="1" t="s">
        <v>562</v>
      </c>
      <c r="M32" s="2" t="s">
        <v>121</v>
      </c>
    </row>
    <row r="33" spans="1:13" x14ac:dyDescent="0.4">
      <c r="A33" s="1" t="s">
        <v>158</v>
      </c>
      <c r="B33" s="1" t="s">
        <v>3</v>
      </c>
      <c r="C33" s="2" t="s">
        <v>114</v>
      </c>
      <c r="D33" s="1" t="s">
        <v>76</v>
      </c>
      <c r="E33" s="1" t="s">
        <v>566</v>
      </c>
      <c r="I33" s="2" t="s">
        <v>235</v>
      </c>
      <c r="J33" s="2" t="s">
        <v>231</v>
      </c>
      <c r="K33" s="1" t="s">
        <v>560</v>
      </c>
    </row>
    <row r="34" spans="1:13" x14ac:dyDescent="0.4">
      <c r="A34" s="1" t="s">
        <v>159</v>
      </c>
      <c r="B34" s="1" t="s">
        <v>3</v>
      </c>
      <c r="C34" s="2" t="s">
        <v>473</v>
      </c>
      <c r="D34" s="1" t="s">
        <v>79</v>
      </c>
      <c r="E34" s="1" t="s">
        <v>566</v>
      </c>
      <c r="I34" s="2" t="s">
        <v>254</v>
      </c>
      <c r="J34" s="2" t="s">
        <v>251</v>
      </c>
      <c r="K34" s="1" t="s">
        <v>562</v>
      </c>
    </row>
    <row r="35" spans="1:13" x14ac:dyDescent="0.4">
      <c r="A35" s="1" t="s">
        <v>160</v>
      </c>
      <c r="B35" s="1" t="s">
        <v>3</v>
      </c>
      <c r="C35" s="2" t="s">
        <v>114</v>
      </c>
      <c r="D35" s="1" t="s">
        <v>82</v>
      </c>
      <c r="E35" s="1" t="s">
        <v>566</v>
      </c>
      <c r="I35" s="2" t="s">
        <v>234</v>
      </c>
      <c r="J35" s="2" t="s">
        <v>231</v>
      </c>
      <c r="K35" s="1" t="s">
        <v>562</v>
      </c>
      <c r="L35" s="1">
        <v>2</v>
      </c>
    </row>
    <row r="36" spans="1:13" x14ac:dyDescent="0.4">
      <c r="A36" s="1" t="s">
        <v>161</v>
      </c>
      <c r="B36" s="1" t="s">
        <v>3</v>
      </c>
      <c r="C36" s="2" t="s">
        <v>473</v>
      </c>
      <c r="D36" s="1" t="s">
        <v>89</v>
      </c>
      <c r="E36" s="1" t="s">
        <v>566</v>
      </c>
      <c r="I36" s="2" t="s">
        <v>253</v>
      </c>
      <c r="J36" s="2" t="s">
        <v>251</v>
      </c>
      <c r="K36" s="1" t="s">
        <v>564</v>
      </c>
      <c r="L36" s="1">
        <v>2</v>
      </c>
    </row>
    <row r="37" spans="1:13" x14ac:dyDescent="0.4">
      <c r="A37" s="1" t="s">
        <v>162</v>
      </c>
      <c r="B37" s="1" t="s">
        <v>3</v>
      </c>
      <c r="C37" s="2" t="s">
        <v>114</v>
      </c>
      <c r="D37" s="1" t="s">
        <v>90</v>
      </c>
      <c r="E37" s="1" t="s">
        <v>566</v>
      </c>
      <c r="I37" s="2" t="s">
        <v>232</v>
      </c>
      <c r="J37" s="2" t="s">
        <v>231</v>
      </c>
      <c r="K37" s="1" t="s">
        <v>560</v>
      </c>
    </row>
    <row r="38" spans="1:13" x14ac:dyDescent="0.4">
      <c r="A38" s="1" t="s">
        <v>163</v>
      </c>
      <c r="B38" s="1" t="s">
        <v>3</v>
      </c>
      <c r="C38" s="2" t="s">
        <v>473</v>
      </c>
      <c r="D38" s="1" t="s">
        <v>91</v>
      </c>
      <c r="E38" s="1" t="s">
        <v>566</v>
      </c>
      <c r="I38" s="2" t="s">
        <v>487</v>
      </c>
      <c r="J38" s="2" t="s">
        <v>476</v>
      </c>
      <c r="K38" s="1" t="s">
        <v>566</v>
      </c>
    </row>
    <row r="39" spans="1:13" x14ac:dyDescent="0.4">
      <c r="A39" s="1" t="s">
        <v>164</v>
      </c>
      <c r="B39" s="1" t="s">
        <v>3</v>
      </c>
      <c r="C39" s="2" t="s">
        <v>114</v>
      </c>
      <c r="D39" s="1" t="s">
        <v>108</v>
      </c>
      <c r="E39" s="1" t="s">
        <v>566</v>
      </c>
      <c r="I39" s="2" t="s">
        <v>232</v>
      </c>
      <c r="J39" s="2" t="s">
        <v>476</v>
      </c>
      <c r="K39" s="1" t="s">
        <v>566</v>
      </c>
    </row>
    <row r="40" spans="1:13" x14ac:dyDescent="0.4">
      <c r="A40" s="1" t="s">
        <v>165</v>
      </c>
      <c r="B40" s="1" t="s">
        <v>3</v>
      </c>
      <c r="C40" s="2" t="s">
        <v>114</v>
      </c>
      <c r="D40" s="1" t="s">
        <v>59</v>
      </c>
      <c r="E40" s="1" t="s">
        <v>566</v>
      </c>
      <c r="H40" s="1" t="s">
        <v>7</v>
      </c>
      <c r="I40" s="2" t="s">
        <v>256</v>
      </c>
      <c r="J40" s="2" t="s">
        <v>231</v>
      </c>
      <c r="K40" s="1" t="s">
        <v>560</v>
      </c>
    </row>
    <row r="41" spans="1:13" x14ac:dyDescent="0.4">
      <c r="A41" s="1" t="s">
        <v>166</v>
      </c>
      <c r="B41" s="2" t="s">
        <v>27</v>
      </c>
      <c r="C41" s="2" t="s">
        <v>114</v>
      </c>
      <c r="D41" s="1" t="s">
        <v>26</v>
      </c>
      <c r="E41" s="1" t="s">
        <v>566</v>
      </c>
      <c r="H41" s="1" t="s">
        <v>7</v>
      </c>
      <c r="I41" s="2" t="s">
        <v>234</v>
      </c>
      <c r="J41" s="2" t="s">
        <v>251</v>
      </c>
      <c r="K41" s="1" t="s">
        <v>562</v>
      </c>
      <c r="M41" s="2" t="s">
        <v>121</v>
      </c>
    </row>
    <row r="42" spans="1:13" x14ac:dyDescent="0.4">
      <c r="A42" s="1" t="s">
        <v>167</v>
      </c>
      <c r="B42" s="2" t="s">
        <v>27</v>
      </c>
      <c r="C42" s="1" t="s">
        <v>18</v>
      </c>
      <c r="D42" s="6" t="s">
        <v>125</v>
      </c>
      <c r="E42" s="1" t="s">
        <v>574</v>
      </c>
      <c r="H42" s="1" t="s">
        <v>7</v>
      </c>
      <c r="I42" s="2" t="s">
        <v>233</v>
      </c>
      <c r="J42" s="2" t="s">
        <v>252</v>
      </c>
      <c r="K42" s="1" t="s">
        <v>566</v>
      </c>
    </row>
    <row r="43" spans="1:13" x14ac:dyDescent="0.4">
      <c r="A43" s="1" t="s">
        <v>168</v>
      </c>
      <c r="B43" s="2" t="s">
        <v>27</v>
      </c>
      <c r="C43" s="2" t="s">
        <v>114</v>
      </c>
      <c r="D43" s="1" t="s">
        <v>69</v>
      </c>
      <c r="E43" s="1" t="s">
        <v>566</v>
      </c>
      <c r="F43" s="1" t="s">
        <v>6</v>
      </c>
      <c r="H43" s="1" t="s">
        <v>7</v>
      </c>
      <c r="I43" s="2" t="s">
        <v>256</v>
      </c>
      <c r="J43" s="1" t="s">
        <v>552</v>
      </c>
      <c r="K43" s="1" t="s">
        <v>560</v>
      </c>
    </row>
    <row r="44" spans="1:13" x14ac:dyDescent="0.4">
      <c r="A44" s="1" t="s">
        <v>169</v>
      </c>
      <c r="B44" s="2" t="s">
        <v>27</v>
      </c>
      <c r="C44" s="2" t="s">
        <v>473</v>
      </c>
      <c r="D44" s="1" t="s">
        <v>72</v>
      </c>
      <c r="E44" s="1" t="s">
        <v>566</v>
      </c>
      <c r="I44" s="2" t="s">
        <v>254</v>
      </c>
      <c r="J44" s="1" t="s">
        <v>475</v>
      </c>
      <c r="K44" s="1" t="s">
        <v>562</v>
      </c>
    </row>
    <row r="45" spans="1:13" x14ac:dyDescent="0.4">
      <c r="A45" s="1" t="s">
        <v>170</v>
      </c>
      <c r="B45" s="2" t="s">
        <v>27</v>
      </c>
      <c r="C45" s="2" t="s">
        <v>114</v>
      </c>
      <c r="D45" s="1" t="s">
        <v>80</v>
      </c>
      <c r="E45" s="1" t="s">
        <v>566</v>
      </c>
      <c r="I45" s="2" t="s">
        <v>232</v>
      </c>
      <c r="J45" s="1" t="s">
        <v>552</v>
      </c>
      <c r="K45" s="1" t="s">
        <v>562</v>
      </c>
    </row>
    <row r="46" spans="1:13" x14ac:dyDescent="0.4">
      <c r="A46" s="1" t="s">
        <v>171</v>
      </c>
      <c r="B46" s="2" t="s">
        <v>27</v>
      </c>
      <c r="C46" s="2" t="s">
        <v>114</v>
      </c>
      <c r="D46" s="1" t="s">
        <v>86</v>
      </c>
      <c r="E46" s="1" t="s">
        <v>574</v>
      </c>
      <c r="I46" s="2" t="s">
        <v>234</v>
      </c>
      <c r="J46" s="1" t="s">
        <v>475</v>
      </c>
      <c r="K46" s="1" t="s">
        <v>564</v>
      </c>
    </row>
    <row r="47" spans="1:13" x14ac:dyDescent="0.4">
      <c r="A47" s="1" t="s">
        <v>172</v>
      </c>
      <c r="B47" s="2" t="s">
        <v>27</v>
      </c>
      <c r="C47" s="2" t="s">
        <v>473</v>
      </c>
      <c r="D47" s="1" t="s">
        <v>87</v>
      </c>
      <c r="E47" s="1" t="s">
        <v>566</v>
      </c>
      <c r="I47" s="2" t="s">
        <v>254</v>
      </c>
      <c r="J47" s="2" t="s">
        <v>231</v>
      </c>
      <c r="K47" s="1" t="s">
        <v>562</v>
      </c>
      <c r="M47" s="2" t="s">
        <v>121</v>
      </c>
    </row>
    <row r="48" spans="1:13" x14ac:dyDescent="0.4">
      <c r="A48" s="1" t="s">
        <v>173</v>
      </c>
      <c r="B48" s="2" t="s">
        <v>27</v>
      </c>
      <c r="C48" s="2" t="s">
        <v>474</v>
      </c>
      <c r="D48" s="1" t="s">
        <v>88</v>
      </c>
      <c r="E48" s="1" t="s">
        <v>566</v>
      </c>
      <c r="I48" s="2" t="s">
        <v>253</v>
      </c>
      <c r="J48" s="1" t="s">
        <v>479</v>
      </c>
      <c r="K48" s="1" t="s">
        <v>562</v>
      </c>
    </row>
    <row r="49" spans="1:11" x14ac:dyDescent="0.4">
      <c r="A49" s="1" t="s">
        <v>174</v>
      </c>
      <c r="B49" s="2" t="s">
        <v>27</v>
      </c>
      <c r="C49" s="2" t="s">
        <v>473</v>
      </c>
      <c r="D49" s="1" t="s">
        <v>95</v>
      </c>
      <c r="E49" s="1" t="s">
        <v>566</v>
      </c>
      <c r="I49" s="2" t="s">
        <v>254</v>
      </c>
      <c r="J49" s="1" t="s">
        <v>501</v>
      </c>
      <c r="K49" s="1" t="s">
        <v>564</v>
      </c>
    </row>
    <row r="50" spans="1:11" x14ac:dyDescent="0.4">
      <c r="A50" s="1" t="s">
        <v>175</v>
      </c>
      <c r="B50" s="2" t="s">
        <v>27</v>
      </c>
      <c r="C50" s="2" t="s">
        <v>473</v>
      </c>
      <c r="D50" s="1" t="s">
        <v>96</v>
      </c>
      <c r="E50" s="1" t="s">
        <v>566</v>
      </c>
      <c r="I50" s="2" t="s">
        <v>254</v>
      </c>
      <c r="J50" s="1" t="s">
        <v>475</v>
      </c>
      <c r="K50" s="1" t="s">
        <v>564</v>
      </c>
    </row>
    <row r="51" spans="1:11" x14ac:dyDescent="0.4">
      <c r="A51" s="1" t="s">
        <v>176</v>
      </c>
      <c r="B51" s="2" t="s">
        <v>110</v>
      </c>
      <c r="C51" s="2" t="s">
        <v>114</v>
      </c>
      <c r="D51" s="1" t="s">
        <v>75</v>
      </c>
      <c r="E51" s="1" t="s">
        <v>566</v>
      </c>
      <c r="I51" s="2" t="s">
        <v>235</v>
      </c>
      <c r="J51" s="1" t="s">
        <v>475</v>
      </c>
      <c r="K51" s="1" t="s">
        <v>560</v>
      </c>
    </row>
    <row r="52" spans="1:11" x14ac:dyDescent="0.4">
      <c r="A52" s="1" t="s">
        <v>177</v>
      </c>
      <c r="B52" s="2" t="s">
        <v>110</v>
      </c>
      <c r="C52" s="2" t="s">
        <v>473</v>
      </c>
      <c r="D52" s="6" t="s">
        <v>81</v>
      </c>
      <c r="E52" s="1" t="s">
        <v>566</v>
      </c>
      <c r="I52" s="2" t="s">
        <v>254</v>
      </c>
      <c r="J52" s="1" t="s">
        <v>475</v>
      </c>
      <c r="K52" s="1" t="s">
        <v>560</v>
      </c>
    </row>
    <row r="53" spans="1:11" x14ac:dyDescent="0.4">
      <c r="A53" s="1" t="s">
        <v>178</v>
      </c>
      <c r="B53" s="2" t="s">
        <v>109</v>
      </c>
      <c r="C53" s="2" t="s">
        <v>114</v>
      </c>
      <c r="D53" s="1" t="s">
        <v>60</v>
      </c>
      <c r="E53" s="1" t="s">
        <v>566</v>
      </c>
      <c r="H53" s="1" t="s">
        <v>7</v>
      </c>
      <c r="I53" s="2" t="s">
        <v>235</v>
      </c>
      <c r="J53" s="1" t="s">
        <v>475</v>
      </c>
      <c r="K53" s="1" t="s">
        <v>562</v>
      </c>
    </row>
    <row r="54" spans="1:11" x14ac:dyDescent="0.4">
      <c r="A54" s="1" t="s">
        <v>179</v>
      </c>
      <c r="B54" s="2" t="s">
        <v>5</v>
      </c>
      <c r="C54" s="2" t="s">
        <v>474</v>
      </c>
      <c r="D54" s="1" t="s">
        <v>49</v>
      </c>
      <c r="E54" s="1" t="s">
        <v>566</v>
      </c>
      <c r="F54" s="1" t="s">
        <v>6</v>
      </c>
      <c r="G54" s="1" t="s">
        <v>6</v>
      </c>
      <c r="H54" s="1" t="s">
        <v>7</v>
      </c>
      <c r="I54" s="2" t="s">
        <v>254</v>
      </c>
      <c r="J54" s="1" t="s">
        <v>479</v>
      </c>
      <c r="K54" s="1" t="s">
        <v>562</v>
      </c>
    </row>
    <row r="55" spans="1:11" x14ac:dyDescent="0.4">
      <c r="A55" s="1" t="s">
        <v>180</v>
      </c>
      <c r="B55" s="2" t="s">
        <v>5</v>
      </c>
      <c r="C55" s="1" t="s">
        <v>18</v>
      </c>
      <c r="D55" s="1" t="s">
        <v>25</v>
      </c>
      <c r="E55" s="1" t="s">
        <v>566</v>
      </c>
      <c r="F55" s="1" t="s">
        <v>7</v>
      </c>
      <c r="G55" s="1" t="s">
        <v>7</v>
      </c>
      <c r="H55" s="1" t="s">
        <v>7</v>
      </c>
      <c r="I55" s="2" t="s">
        <v>255</v>
      </c>
      <c r="J55" s="1" t="s">
        <v>478</v>
      </c>
      <c r="K55" s="1" t="s">
        <v>566</v>
      </c>
    </row>
    <row r="56" spans="1:11" x14ac:dyDescent="0.4">
      <c r="A56" s="1" t="s">
        <v>181</v>
      </c>
      <c r="B56" s="1" t="s">
        <v>5</v>
      </c>
      <c r="C56" s="2" t="s">
        <v>114</v>
      </c>
      <c r="D56" s="1" t="s">
        <v>12</v>
      </c>
      <c r="E56" s="1" t="s">
        <v>566</v>
      </c>
      <c r="F56" s="1" t="s">
        <v>6</v>
      </c>
      <c r="G56" s="1" t="s">
        <v>6</v>
      </c>
      <c r="H56" s="1" t="s">
        <v>7</v>
      </c>
      <c r="I56" s="2" t="s">
        <v>235</v>
      </c>
      <c r="J56" s="1" t="s">
        <v>475</v>
      </c>
      <c r="K56" s="1" t="s">
        <v>562</v>
      </c>
    </row>
    <row r="57" spans="1:11" x14ac:dyDescent="0.4">
      <c r="A57" s="1" t="s">
        <v>182</v>
      </c>
      <c r="B57" s="2" t="s">
        <v>5</v>
      </c>
      <c r="C57" s="2" t="s">
        <v>474</v>
      </c>
      <c r="D57" s="1" t="s">
        <v>102</v>
      </c>
      <c r="E57" s="1" t="s">
        <v>574</v>
      </c>
      <c r="I57" s="2" t="s">
        <v>254</v>
      </c>
      <c r="J57" s="1" t="s">
        <v>552</v>
      </c>
      <c r="K57" s="1" t="s">
        <v>562</v>
      </c>
    </row>
    <row r="58" spans="1:11" x14ac:dyDescent="0.4">
      <c r="A58" s="1" t="s">
        <v>183</v>
      </c>
      <c r="B58" s="2" t="s">
        <v>5</v>
      </c>
      <c r="C58" s="2" t="s">
        <v>114</v>
      </c>
      <c r="D58" s="1" t="s">
        <v>30</v>
      </c>
      <c r="E58" s="1" t="s">
        <v>566</v>
      </c>
      <c r="F58" s="1" t="s">
        <v>6</v>
      </c>
      <c r="G58" s="1" t="s">
        <v>6</v>
      </c>
      <c r="H58" s="1" t="s">
        <v>7</v>
      </c>
      <c r="I58" s="2" t="s">
        <v>232</v>
      </c>
      <c r="J58" s="1" t="s">
        <v>552</v>
      </c>
      <c r="K58" s="1" t="s">
        <v>560</v>
      </c>
    </row>
    <row r="59" spans="1:11" x14ac:dyDescent="0.4">
      <c r="A59" s="1" t="s">
        <v>184</v>
      </c>
      <c r="B59" s="2" t="s">
        <v>5</v>
      </c>
      <c r="C59" s="1" t="s">
        <v>18</v>
      </c>
      <c r="D59" s="1" t="s">
        <v>33</v>
      </c>
      <c r="E59" s="1" t="s">
        <v>574</v>
      </c>
      <c r="F59" s="1" t="s">
        <v>6</v>
      </c>
      <c r="H59" s="1" t="s">
        <v>6</v>
      </c>
      <c r="I59" s="2" t="s">
        <v>255</v>
      </c>
      <c r="J59" s="1" t="s">
        <v>552</v>
      </c>
      <c r="K59" s="1" t="s">
        <v>562</v>
      </c>
    </row>
    <row r="60" spans="1:11" x14ac:dyDescent="0.4">
      <c r="A60" s="1" t="s">
        <v>185</v>
      </c>
      <c r="B60" s="2" t="s">
        <v>5</v>
      </c>
      <c r="C60" s="2" t="s">
        <v>114</v>
      </c>
      <c r="D60" s="1" t="s">
        <v>51</v>
      </c>
      <c r="E60" s="1" t="s">
        <v>566</v>
      </c>
      <c r="F60" s="1" t="s">
        <v>6</v>
      </c>
      <c r="G60" s="1" t="s">
        <v>6</v>
      </c>
      <c r="H60" s="1" t="s">
        <v>7</v>
      </c>
      <c r="I60" s="2" t="s">
        <v>234</v>
      </c>
      <c r="J60" s="1" t="s">
        <v>475</v>
      </c>
      <c r="K60" s="1" t="s">
        <v>562</v>
      </c>
    </row>
    <row r="61" spans="1:11" x14ac:dyDescent="0.4">
      <c r="A61" s="1" t="s">
        <v>186</v>
      </c>
      <c r="B61" s="2" t="s">
        <v>5</v>
      </c>
      <c r="C61" s="2" t="s">
        <v>114</v>
      </c>
      <c r="D61" s="1" t="s">
        <v>54</v>
      </c>
      <c r="E61" s="1" t="s">
        <v>566</v>
      </c>
      <c r="H61" s="1" t="s">
        <v>7</v>
      </c>
      <c r="I61" s="2" t="s">
        <v>232</v>
      </c>
      <c r="J61" s="1" t="s">
        <v>475</v>
      </c>
      <c r="K61" s="1" t="s">
        <v>560</v>
      </c>
    </row>
    <row r="62" spans="1:11" x14ac:dyDescent="0.4">
      <c r="A62" s="1" t="s">
        <v>187</v>
      </c>
      <c r="B62" s="2" t="s">
        <v>5</v>
      </c>
      <c r="C62" s="2" t="s">
        <v>473</v>
      </c>
      <c r="D62" s="1" t="s">
        <v>55</v>
      </c>
      <c r="E62" s="1" t="s">
        <v>566</v>
      </c>
      <c r="H62" s="1" t="s">
        <v>7</v>
      </c>
      <c r="I62" s="2" t="s">
        <v>254</v>
      </c>
      <c r="J62" s="2" t="s">
        <v>476</v>
      </c>
      <c r="K62" s="1" t="s">
        <v>560</v>
      </c>
    </row>
    <row r="63" spans="1:11" x14ac:dyDescent="0.4">
      <c r="A63" s="1" t="s">
        <v>188</v>
      </c>
      <c r="B63" s="2" t="s">
        <v>5</v>
      </c>
      <c r="C63" s="2" t="s">
        <v>114</v>
      </c>
      <c r="D63" s="1" t="s">
        <v>56</v>
      </c>
      <c r="E63" s="1" t="s">
        <v>566</v>
      </c>
      <c r="H63" s="1" t="s">
        <v>7</v>
      </c>
      <c r="I63" s="2" t="s">
        <v>236</v>
      </c>
      <c r="J63" s="1" t="s">
        <v>475</v>
      </c>
      <c r="K63" s="1" t="s">
        <v>562</v>
      </c>
    </row>
    <row r="64" spans="1:11" x14ac:dyDescent="0.4">
      <c r="A64" s="1" t="s">
        <v>189</v>
      </c>
      <c r="B64" s="2" t="s">
        <v>5</v>
      </c>
      <c r="C64" s="1" t="s">
        <v>18</v>
      </c>
      <c r="D64" s="1" t="s">
        <v>57</v>
      </c>
      <c r="E64" s="1" t="s">
        <v>566</v>
      </c>
      <c r="H64" s="1" t="s">
        <v>7</v>
      </c>
      <c r="I64" s="2" t="s">
        <v>233</v>
      </c>
      <c r="J64" s="1" t="s">
        <v>479</v>
      </c>
      <c r="K64" s="1" t="s">
        <v>562</v>
      </c>
    </row>
    <row r="65" spans="1:11" x14ac:dyDescent="0.4">
      <c r="A65" s="1" t="s">
        <v>190</v>
      </c>
      <c r="B65" s="2" t="s">
        <v>5</v>
      </c>
      <c r="C65" s="1" t="s">
        <v>18</v>
      </c>
      <c r="D65" s="1" t="s">
        <v>58</v>
      </c>
      <c r="E65" s="1" t="s">
        <v>566</v>
      </c>
      <c r="H65" s="1" t="s">
        <v>6</v>
      </c>
      <c r="I65" s="2" t="s">
        <v>255</v>
      </c>
      <c r="J65" s="1" t="s">
        <v>552</v>
      </c>
      <c r="K65" s="1" t="s">
        <v>562</v>
      </c>
    </row>
    <row r="66" spans="1:11" x14ac:dyDescent="0.4">
      <c r="A66" s="1" t="s">
        <v>191</v>
      </c>
      <c r="B66" s="2" t="s">
        <v>5</v>
      </c>
      <c r="C66" s="1" t="s">
        <v>18</v>
      </c>
      <c r="D66" s="1" t="s">
        <v>63</v>
      </c>
      <c r="E66" s="1" t="s">
        <v>566</v>
      </c>
      <c r="H66" s="1" t="s">
        <v>7</v>
      </c>
      <c r="I66" s="2" t="s">
        <v>254</v>
      </c>
      <c r="J66" s="1" t="s">
        <v>479</v>
      </c>
      <c r="K66" s="1" t="s">
        <v>560</v>
      </c>
    </row>
    <row r="67" spans="1:11" x14ac:dyDescent="0.4">
      <c r="A67" s="1" t="s">
        <v>192</v>
      </c>
      <c r="B67" s="2" t="s">
        <v>5</v>
      </c>
      <c r="C67" s="1" t="s">
        <v>17</v>
      </c>
      <c r="D67" s="5" t="s">
        <v>64</v>
      </c>
      <c r="E67" s="1" t="s">
        <v>574</v>
      </c>
      <c r="H67" s="1" t="s">
        <v>7</v>
      </c>
      <c r="I67" s="2" t="s">
        <v>254</v>
      </c>
      <c r="J67" s="1" t="s">
        <v>554</v>
      </c>
      <c r="K67" s="1" t="s">
        <v>562</v>
      </c>
    </row>
    <row r="68" spans="1:11" x14ac:dyDescent="0.4">
      <c r="A68" s="1" t="s">
        <v>193</v>
      </c>
      <c r="B68" s="2" t="s">
        <v>5</v>
      </c>
      <c r="C68" s="1" t="s">
        <v>18</v>
      </c>
      <c r="D68" s="1" t="s">
        <v>65</v>
      </c>
      <c r="E68" s="1" t="s">
        <v>574</v>
      </c>
      <c r="H68" s="1" t="s">
        <v>7</v>
      </c>
      <c r="I68" s="2" t="s">
        <v>254</v>
      </c>
      <c r="J68" s="1" t="s">
        <v>554</v>
      </c>
      <c r="K68" s="1" t="s">
        <v>560</v>
      </c>
    </row>
    <row r="69" spans="1:11" x14ac:dyDescent="0.4">
      <c r="A69" s="1" t="s">
        <v>194</v>
      </c>
      <c r="B69" s="2" t="s">
        <v>5</v>
      </c>
      <c r="C69" s="1" t="s">
        <v>18</v>
      </c>
      <c r="D69" s="1" t="s">
        <v>68</v>
      </c>
      <c r="E69" s="1" t="s">
        <v>577</v>
      </c>
      <c r="H69" s="1" t="s">
        <v>7</v>
      </c>
      <c r="I69" s="2" t="s">
        <v>255</v>
      </c>
      <c r="J69" s="1" t="s">
        <v>478</v>
      </c>
      <c r="K69" s="1" t="s">
        <v>564</v>
      </c>
    </row>
    <row r="70" spans="1:11" x14ac:dyDescent="0.4">
      <c r="A70" s="1" t="s">
        <v>195</v>
      </c>
      <c r="B70" s="2" t="s">
        <v>5</v>
      </c>
      <c r="C70" s="2" t="s">
        <v>114</v>
      </c>
      <c r="D70" s="1" t="s">
        <v>77</v>
      </c>
      <c r="E70" s="1" t="s">
        <v>566</v>
      </c>
      <c r="I70" s="2" t="s">
        <v>232</v>
      </c>
      <c r="J70" s="1" t="s">
        <v>552</v>
      </c>
      <c r="K70" s="1" t="s">
        <v>560</v>
      </c>
    </row>
    <row r="71" spans="1:11" x14ac:dyDescent="0.4">
      <c r="A71" s="1" t="s">
        <v>196</v>
      </c>
      <c r="B71" s="2" t="s">
        <v>5</v>
      </c>
      <c r="C71" s="1" t="s">
        <v>18</v>
      </c>
      <c r="D71" s="6" t="s">
        <v>78</v>
      </c>
      <c r="E71" s="1" t="s">
        <v>566</v>
      </c>
      <c r="I71" s="2" t="s">
        <v>254</v>
      </c>
      <c r="J71" s="1" t="s">
        <v>552</v>
      </c>
      <c r="K71" s="1" t="s">
        <v>562</v>
      </c>
    </row>
    <row r="72" spans="1:11" x14ac:dyDescent="0.4">
      <c r="A72" s="1" t="s">
        <v>197</v>
      </c>
      <c r="B72" s="2" t="s">
        <v>5</v>
      </c>
      <c r="C72" s="2" t="s">
        <v>473</v>
      </c>
      <c r="D72" s="1" t="s">
        <v>83</v>
      </c>
      <c r="E72" s="1" t="s">
        <v>574</v>
      </c>
      <c r="I72" s="2" t="s">
        <v>254</v>
      </c>
      <c r="J72" s="1" t="s">
        <v>501</v>
      </c>
      <c r="K72" s="1" t="s">
        <v>562</v>
      </c>
    </row>
    <row r="73" spans="1:11" x14ac:dyDescent="0.4">
      <c r="A73" s="1" t="s">
        <v>198</v>
      </c>
      <c r="B73" s="2" t="s">
        <v>5</v>
      </c>
      <c r="C73" s="1" t="s">
        <v>18</v>
      </c>
      <c r="D73" s="1" t="s">
        <v>84</v>
      </c>
      <c r="E73" s="1" t="s">
        <v>566</v>
      </c>
      <c r="I73" s="2" t="s">
        <v>233</v>
      </c>
      <c r="J73" s="1" t="s">
        <v>552</v>
      </c>
      <c r="K73" s="1" t="s">
        <v>562</v>
      </c>
    </row>
    <row r="74" spans="1:11" x14ac:dyDescent="0.4">
      <c r="A74" s="1" t="s">
        <v>199</v>
      </c>
      <c r="B74" s="2" t="s">
        <v>5</v>
      </c>
      <c r="C74" s="2" t="s">
        <v>473</v>
      </c>
      <c r="D74" s="1" t="s">
        <v>85</v>
      </c>
      <c r="E74" s="1" t="s">
        <v>566</v>
      </c>
      <c r="I74" s="2" t="s">
        <v>254</v>
      </c>
      <c r="J74" s="1" t="s">
        <v>554</v>
      </c>
      <c r="K74" s="1" t="s">
        <v>566</v>
      </c>
    </row>
    <row r="75" spans="1:11" x14ac:dyDescent="0.4">
      <c r="A75" s="1" t="s">
        <v>200</v>
      </c>
      <c r="B75" s="2" t="s">
        <v>5</v>
      </c>
      <c r="C75" s="1" t="s">
        <v>18</v>
      </c>
      <c r="D75" s="1" t="s">
        <v>94</v>
      </c>
      <c r="E75" s="1" t="s">
        <v>574</v>
      </c>
      <c r="I75" s="2" t="s">
        <v>233</v>
      </c>
      <c r="J75" s="1" t="s">
        <v>554</v>
      </c>
      <c r="K75" s="1" t="s">
        <v>562</v>
      </c>
    </row>
    <row r="76" spans="1:11" x14ac:dyDescent="0.4">
      <c r="A76" s="1" t="s">
        <v>201</v>
      </c>
      <c r="B76" s="2" t="s">
        <v>5</v>
      </c>
      <c r="C76" s="2" t="s">
        <v>473</v>
      </c>
      <c r="D76" s="1" t="s">
        <v>98</v>
      </c>
      <c r="E76" s="1" t="s">
        <v>566</v>
      </c>
      <c r="I76" s="2" t="s">
        <v>254</v>
      </c>
      <c r="J76" s="1" t="s">
        <v>479</v>
      </c>
      <c r="K76" s="1" t="s">
        <v>564</v>
      </c>
    </row>
    <row r="77" spans="1:11" x14ac:dyDescent="0.4">
      <c r="A77" s="1" t="s">
        <v>202</v>
      </c>
      <c r="B77" s="2" t="s">
        <v>5</v>
      </c>
      <c r="C77" s="1" t="s">
        <v>18</v>
      </c>
      <c r="D77" s="1" t="s">
        <v>99</v>
      </c>
      <c r="E77" s="1" t="s">
        <v>566</v>
      </c>
      <c r="I77" s="2" t="s">
        <v>255</v>
      </c>
      <c r="J77" s="1" t="s">
        <v>552</v>
      </c>
      <c r="K77" s="1" t="s">
        <v>562</v>
      </c>
    </row>
    <row r="78" spans="1:11" x14ac:dyDescent="0.4">
      <c r="A78" s="1" t="s">
        <v>203</v>
      </c>
      <c r="B78" s="2" t="s">
        <v>5</v>
      </c>
      <c r="C78" s="2" t="s">
        <v>474</v>
      </c>
      <c r="D78" s="1" t="s">
        <v>100</v>
      </c>
      <c r="E78" s="1" t="s">
        <v>566</v>
      </c>
      <c r="I78" s="2" t="s">
        <v>254</v>
      </c>
      <c r="J78" s="1" t="s">
        <v>479</v>
      </c>
      <c r="K78" s="1" t="s">
        <v>562</v>
      </c>
    </row>
    <row r="79" spans="1:11" x14ac:dyDescent="0.4">
      <c r="A79" s="1" t="s">
        <v>204</v>
      </c>
      <c r="B79" s="2" t="s">
        <v>5</v>
      </c>
      <c r="C79" s="2" t="s">
        <v>474</v>
      </c>
      <c r="D79" s="1" t="s">
        <v>101</v>
      </c>
      <c r="E79" s="1" t="s">
        <v>566</v>
      </c>
      <c r="I79" s="2" t="s">
        <v>254</v>
      </c>
      <c r="J79" s="1" t="s">
        <v>552</v>
      </c>
      <c r="K79" s="1" t="s">
        <v>562</v>
      </c>
    </row>
    <row r="80" spans="1:11" x14ac:dyDescent="0.4">
      <c r="A80" s="1" t="s">
        <v>205</v>
      </c>
      <c r="B80" s="1" t="s">
        <v>5</v>
      </c>
      <c r="C80" s="2" t="s">
        <v>114</v>
      </c>
      <c r="D80" s="1" t="s">
        <v>19</v>
      </c>
      <c r="E80" s="1" t="s">
        <v>566</v>
      </c>
      <c r="F80" s="1" t="s">
        <v>6</v>
      </c>
      <c r="G80" s="1" t="s">
        <v>6</v>
      </c>
      <c r="H80" s="1" t="s">
        <v>7</v>
      </c>
      <c r="I80" s="2" t="s">
        <v>256</v>
      </c>
      <c r="J80" s="1" t="s">
        <v>475</v>
      </c>
      <c r="K80" s="1" t="s">
        <v>562</v>
      </c>
    </row>
    <row r="81" spans="1:13" x14ac:dyDescent="0.4">
      <c r="A81" s="9" t="s">
        <v>206</v>
      </c>
      <c r="B81" s="2" t="s">
        <v>5</v>
      </c>
      <c r="C81" s="1" t="s">
        <v>18</v>
      </c>
      <c r="D81" s="6" t="s">
        <v>103</v>
      </c>
      <c r="E81" s="1" t="s">
        <v>574</v>
      </c>
      <c r="F81" s="1" t="s">
        <v>7</v>
      </c>
      <c r="G81" s="1" t="s">
        <v>7</v>
      </c>
      <c r="H81" s="1" t="s">
        <v>6</v>
      </c>
      <c r="I81" s="2" t="s">
        <v>233</v>
      </c>
      <c r="J81" s="2" t="s">
        <v>552</v>
      </c>
      <c r="K81" s="1" t="s">
        <v>562</v>
      </c>
      <c r="M81" s="2" t="s">
        <v>119</v>
      </c>
    </row>
    <row r="82" spans="1:13" x14ac:dyDescent="0.4">
      <c r="A82" s="9" t="s">
        <v>207</v>
      </c>
      <c r="B82" s="2" t="s">
        <v>5</v>
      </c>
      <c r="C82" s="1" t="s">
        <v>17</v>
      </c>
      <c r="D82" s="1" t="s">
        <v>104</v>
      </c>
      <c r="E82" s="1" t="s">
        <v>566</v>
      </c>
      <c r="F82" s="1" t="s">
        <v>6</v>
      </c>
      <c r="G82" s="1" t="s">
        <v>6</v>
      </c>
      <c r="H82" s="1" t="s">
        <v>7</v>
      </c>
      <c r="I82" s="2" t="s">
        <v>254</v>
      </c>
      <c r="J82" s="2" t="s">
        <v>476</v>
      </c>
      <c r="K82" s="1" t="s">
        <v>562</v>
      </c>
      <c r="M82" s="2" t="s">
        <v>119</v>
      </c>
    </row>
    <row r="83" spans="1:13" x14ac:dyDescent="0.4">
      <c r="A83" s="9" t="s">
        <v>208</v>
      </c>
      <c r="B83" s="2" t="s">
        <v>5</v>
      </c>
      <c r="C83" s="1" t="s">
        <v>18</v>
      </c>
      <c r="D83" s="1" t="s">
        <v>105</v>
      </c>
      <c r="E83" s="1" t="s">
        <v>566</v>
      </c>
      <c r="F83" s="1" t="s">
        <v>6</v>
      </c>
      <c r="G83" s="1" t="s">
        <v>6</v>
      </c>
      <c r="H83" s="1" t="s">
        <v>7</v>
      </c>
      <c r="I83" s="2" t="s">
        <v>253</v>
      </c>
      <c r="J83" s="2" t="s">
        <v>552</v>
      </c>
      <c r="K83" s="1" t="s">
        <v>562</v>
      </c>
      <c r="L83" s="1">
        <v>2</v>
      </c>
      <c r="M83" s="2" t="s">
        <v>120</v>
      </c>
    </row>
    <row r="84" spans="1:13" x14ac:dyDescent="0.4">
      <c r="A84" s="9" t="s">
        <v>209</v>
      </c>
      <c r="B84" s="2" t="s">
        <v>5</v>
      </c>
      <c r="C84" s="1" t="s">
        <v>18</v>
      </c>
      <c r="D84" s="1" t="s">
        <v>106</v>
      </c>
      <c r="E84" s="1" t="s">
        <v>566</v>
      </c>
      <c r="F84" s="1" t="s">
        <v>7</v>
      </c>
      <c r="G84" s="1" t="s">
        <v>7</v>
      </c>
      <c r="H84" s="1" t="s">
        <v>6</v>
      </c>
      <c r="I84" s="2" t="s">
        <v>255</v>
      </c>
      <c r="J84" s="2" t="s">
        <v>252</v>
      </c>
      <c r="K84" s="1" t="s">
        <v>566</v>
      </c>
      <c r="M84" s="2" t="s">
        <v>121</v>
      </c>
    </row>
    <row r="85" spans="1:13" x14ac:dyDescent="0.4">
      <c r="A85" s="1" t="s">
        <v>210</v>
      </c>
      <c r="B85" t="s">
        <v>29</v>
      </c>
      <c r="C85" s="1" t="s">
        <v>17</v>
      </c>
      <c r="D85" s="1" t="s">
        <v>28</v>
      </c>
      <c r="E85" s="1" t="s">
        <v>566</v>
      </c>
      <c r="H85" s="1" t="s">
        <v>7</v>
      </c>
      <c r="I85" s="2" t="s">
        <v>254</v>
      </c>
      <c r="J85" s="1" t="s">
        <v>475</v>
      </c>
      <c r="K85" s="1" t="s">
        <v>562</v>
      </c>
    </row>
    <row r="86" spans="1:13" x14ac:dyDescent="0.4">
      <c r="A86" s="1" t="s">
        <v>211</v>
      </c>
      <c r="B86" t="s">
        <v>29</v>
      </c>
      <c r="C86" s="1" t="s">
        <v>17</v>
      </c>
      <c r="D86" s="1" t="s">
        <v>34</v>
      </c>
      <c r="E86" s="1" t="s">
        <v>566</v>
      </c>
      <c r="H86" s="1" t="s">
        <v>7</v>
      </c>
      <c r="I86" s="2" t="s">
        <v>254</v>
      </c>
      <c r="J86" s="1" t="s">
        <v>475</v>
      </c>
      <c r="K86" s="1" t="s">
        <v>562</v>
      </c>
    </row>
    <row r="87" spans="1:13" x14ac:dyDescent="0.4">
      <c r="A87" s="1" t="s">
        <v>212</v>
      </c>
      <c r="B87" t="s">
        <v>29</v>
      </c>
      <c r="C87" s="1" t="s">
        <v>17</v>
      </c>
      <c r="D87" s="1" t="s">
        <v>36</v>
      </c>
      <c r="E87" s="1" t="s">
        <v>566</v>
      </c>
      <c r="H87" s="1" t="s">
        <v>7</v>
      </c>
      <c r="I87" s="2" t="s">
        <v>253</v>
      </c>
      <c r="J87" s="1" t="s">
        <v>475</v>
      </c>
      <c r="K87" s="1" t="s">
        <v>562</v>
      </c>
    </row>
    <row r="88" spans="1:13" x14ac:dyDescent="0.4">
      <c r="A88" s="1" t="s">
        <v>213</v>
      </c>
      <c r="B88" s="1" t="s">
        <v>13</v>
      </c>
      <c r="C88" s="2" t="s">
        <v>114</v>
      </c>
      <c r="D88" s="1" t="s">
        <v>20</v>
      </c>
      <c r="E88" s="1" t="s">
        <v>566</v>
      </c>
      <c r="F88" s="1" t="s">
        <v>6</v>
      </c>
      <c r="G88" s="1" t="s">
        <v>6</v>
      </c>
      <c r="H88" s="1" t="s">
        <v>7</v>
      </c>
      <c r="I88" s="2" t="s">
        <v>232</v>
      </c>
      <c r="J88" s="1" t="s">
        <v>475</v>
      </c>
      <c r="K88" s="1" t="s">
        <v>560</v>
      </c>
    </row>
    <row r="89" spans="1:13" x14ac:dyDescent="0.4">
      <c r="A89" s="1" t="s">
        <v>214</v>
      </c>
      <c r="B89" s="2" t="s">
        <v>13</v>
      </c>
      <c r="C89" s="2" t="s">
        <v>114</v>
      </c>
      <c r="D89" s="1" t="s">
        <v>50</v>
      </c>
      <c r="E89" s="1" t="s">
        <v>566</v>
      </c>
      <c r="F89" s="1" t="s">
        <v>6</v>
      </c>
      <c r="G89" s="1" t="s">
        <v>6</v>
      </c>
      <c r="H89" s="1" t="s">
        <v>7</v>
      </c>
      <c r="I89" s="2" t="s">
        <v>234</v>
      </c>
      <c r="J89" s="1" t="s">
        <v>479</v>
      </c>
      <c r="K89" s="1" t="s">
        <v>560</v>
      </c>
      <c r="L89" s="1">
        <v>2</v>
      </c>
    </row>
    <row r="90" spans="1:13" x14ac:dyDescent="0.4">
      <c r="A90" s="1" t="s">
        <v>215</v>
      </c>
      <c r="B90" s="2" t="s">
        <v>13</v>
      </c>
      <c r="C90" s="2" t="s">
        <v>114</v>
      </c>
      <c r="D90" s="1" t="s">
        <v>62</v>
      </c>
      <c r="E90" s="1" t="s">
        <v>566</v>
      </c>
      <c r="H90" s="1" t="s">
        <v>7</v>
      </c>
      <c r="I90" s="2" t="s">
        <v>232</v>
      </c>
      <c r="J90" s="1" t="s">
        <v>475</v>
      </c>
      <c r="K90" s="1" t="s">
        <v>560</v>
      </c>
    </row>
    <row r="91" spans="1:13" x14ac:dyDescent="0.4">
      <c r="A91" s="1" t="s">
        <v>216</v>
      </c>
      <c r="B91" s="2" t="s">
        <v>13</v>
      </c>
      <c r="C91" s="2" t="s">
        <v>114</v>
      </c>
      <c r="D91" s="1" t="s">
        <v>66</v>
      </c>
      <c r="E91" s="1" t="s">
        <v>566</v>
      </c>
      <c r="H91" s="1" t="s">
        <v>7</v>
      </c>
      <c r="I91" s="2" t="s">
        <v>234</v>
      </c>
      <c r="J91" s="2" t="s">
        <v>476</v>
      </c>
      <c r="K91" s="1" t="s">
        <v>560</v>
      </c>
    </row>
    <row r="92" spans="1:13" x14ac:dyDescent="0.4">
      <c r="A92" s="9" t="s">
        <v>217</v>
      </c>
      <c r="B92" s="2" t="s">
        <v>13</v>
      </c>
      <c r="C92" s="1" t="s">
        <v>18</v>
      </c>
      <c r="D92" s="1" t="s">
        <v>107</v>
      </c>
      <c r="E92" s="1" t="s">
        <v>566</v>
      </c>
      <c r="F92" s="1" t="s">
        <v>7</v>
      </c>
      <c r="G92" s="1" t="s">
        <v>7</v>
      </c>
      <c r="H92" s="1" t="s">
        <v>6</v>
      </c>
      <c r="I92" s="2" t="s">
        <v>254</v>
      </c>
      <c r="J92" s="2" t="s">
        <v>252</v>
      </c>
      <c r="K92" s="1" t="s">
        <v>566</v>
      </c>
      <c r="M92" s="2" t="s">
        <v>121</v>
      </c>
    </row>
    <row r="93" spans="1:13" x14ac:dyDescent="0.4">
      <c r="A93" s="1" t="s">
        <v>218</v>
      </c>
      <c r="B93" s="2" t="s">
        <v>111</v>
      </c>
      <c r="C93" s="1" t="s">
        <v>18</v>
      </c>
      <c r="D93" s="1" t="s">
        <v>67</v>
      </c>
      <c r="E93" s="1" t="s">
        <v>577</v>
      </c>
      <c r="H93" s="1" t="s">
        <v>6</v>
      </c>
      <c r="I93" s="2" t="s">
        <v>233</v>
      </c>
      <c r="J93" s="1" t="s">
        <v>552</v>
      </c>
      <c r="K93" s="1" t="s">
        <v>564</v>
      </c>
    </row>
    <row r="94" spans="1:13" x14ac:dyDescent="0.4">
      <c r="A94" s="1" t="s">
        <v>219</v>
      </c>
      <c r="B94" s="2" t="s">
        <v>111</v>
      </c>
      <c r="C94" s="2" t="s">
        <v>473</v>
      </c>
      <c r="D94" s="1" t="s">
        <v>97</v>
      </c>
      <c r="E94" s="1" t="s">
        <v>566</v>
      </c>
      <c r="I94" s="2" t="s">
        <v>254</v>
      </c>
      <c r="J94" s="1" t="s">
        <v>552</v>
      </c>
      <c r="K94" s="1" t="s">
        <v>564</v>
      </c>
    </row>
    <row r="95" spans="1:13" x14ac:dyDescent="0.4">
      <c r="A95" s="1" t="s">
        <v>220</v>
      </c>
      <c r="B95" s="2" t="s">
        <v>35</v>
      </c>
      <c r="C95" s="2" t="s">
        <v>114</v>
      </c>
      <c r="D95" s="1" t="s">
        <v>32</v>
      </c>
      <c r="E95" s="1" t="s">
        <v>566</v>
      </c>
      <c r="F95" s="1" t="s">
        <v>6</v>
      </c>
      <c r="G95" s="1" t="s">
        <v>6</v>
      </c>
      <c r="H95" s="1" t="s">
        <v>6</v>
      </c>
      <c r="I95" s="2" t="s">
        <v>235</v>
      </c>
      <c r="J95" s="1" t="s">
        <v>552</v>
      </c>
      <c r="K95" s="1" t="s">
        <v>562</v>
      </c>
    </row>
    <row r="96" spans="1:13" x14ac:dyDescent="0.4">
      <c r="A96" s="1" t="s">
        <v>221</v>
      </c>
      <c r="B96" s="2" t="s">
        <v>35</v>
      </c>
      <c r="C96" s="2" t="s">
        <v>473</v>
      </c>
      <c r="D96" s="1" t="s">
        <v>92</v>
      </c>
      <c r="E96" s="1" t="s">
        <v>566</v>
      </c>
      <c r="I96" s="2" t="s">
        <v>254</v>
      </c>
      <c r="J96" s="1" t="s">
        <v>552</v>
      </c>
      <c r="K96" s="1" t="s">
        <v>562</v>
      </c>
    </row>
    <row r="97" spans="1:11" x14ac:dyDescent="0.4">
      <c r="A97" s="1" t="s">
        <v>222</v>
      </c>
      <c r="B97" s="2" t="s">
        <v>35</v>
      </c>
      <c r="C97" s="2" t="s">
        <v>473</v>
      </c>
      <c r="D97" s="1" t="s">
        <v>93</v>
      </c>
      <c r="E97" s="1" t="s">
        <v>566</v>
      </c>
      <c r="I97" s="2" t="s">
        <v>254</v>
      </c>
      <c r="J97" s="1" t="s">
        <v>552</v>
      </c>
      <c r="K97" s="1" t="s">
        <v>562</v>
      </c>
    </row>
    <row r="98" spans="1:11" x14ac:dyDescent="0.4">
      <c r="A98" s="1" t="s">
        <v>533</v>
      </c>
      <c r="B98" s="2" t="s">
        <v>27</v>
      </c>
      <c r="C98" s="2" t="s">
        <v>114</v>
      </c>
      <c r="D98" s="2" t="s">
        <v>484</v>
      </c>
      <c r="E98" s="1" t="s">
        <v>577</v>
      </c>
      <c r="F98" s="1" t="s">
        <v>6</v>
      </c>
      <c r="G98" s="1" t="s">
        <v>6</v>
      </c>
      <c r="I98" s="2" t="s">
        <v>234</v>
      </c>
      <c r="J98" s="1" t="s">
        <v>475</v>
      </c>
      <c r="K98" s="1" t="s">
        <v>564</v>
      </c>
    </row>
    <row r="99" spans="1:11" x14ac:dyDescent="0.4">
      <c r="A99" s="1" t="s">
        <v>481</v>
      </c>
      <c r="B99" s="2" t="s">
        <v>5</v>
      </c>
      <c r="C99" s="2" t="s">
        <v>473</v>
      </c>
      <c r="D99" s="2" t="s">
        <v>486</v>
      </c>
      <c r="E99" s="1" t="s">
        <v>574</v>
      </c>
      <c r="F99" s="1" t="s">
        <v>7</v>
      </c>
      <c r="G99" s="1" t="s">
        <v>7</v>
      </c>
      <c r="H99" s="1" t="s">
        <v>7</v>
      </c>
      <c r="I99" s="1" t="s">
        <v>487</v>
      </c>
      <c r="J99" s="1" t="s">
        <v>479</v>
      </c>
      <c r="K99" s="1" t="s">
        <v>564</v>
      </c>
    </row>
    <row r="100" spans="1:11" x14ac:dyDescent="0.4">
      <c r="A100" s="1" t="s">
        <v>482</v>
      </c>
      <c r="B100" s="2" t="s">
        <v>5</v>
      </c>
      <c r="C100" s="1" t="s">
        <v>18</v>
      </c>
      <c r="D100" s="2" t="s">
        <v>488</v>
      </c>
      <c r="E100" s="1" t="s">
        <v>577</v>
      </c>
      <c r="F100" s="1" t="s">
        <v>7</v>
      </c>
      <c r="G100" s="1" t="s">
        <v>7</v>
      </c>
      <c r="H100" s="1" t="s">
        <v>6</v>
      </c>
      <c r="I100" s="1" t="s">
        <v>489</v>
      </c>
      <c r="J100" s="1" t="s">
        <v>475</v>
      </c>
      <c r="K100" s="1" t="s">
        <v>564</v>
      </c>
    </row>
    <row r="101" spans="1:11" x14ac:dyDescent="0.4">
      <c r="A101" s="1" t="s">
        <v>483</v>
      </c>
      <c r="B101" s="2" t="s">
        <v>491</v>
      </c>
      <c r="C101" s="2" t="s">
        <v>114</v>
      </c>
      <c r="D101" s="2" t="s">
        <v>490</v>
      </c>
      <c r="E101" s="1" t="s">
        <v>575</v>
      </c>
      <c r="F101" s="1" t="s">
        <v>6</v>
      </c>
      <c r="G101" s="1" t="s">
        <v>7</v>
      </c>
      <c r="H101" s="1" t="s">
        <v>6</v>
      </c>
      <c r="I101" s="1" t="s">
        <v>477</v>
      </c>
      <c r="J101" s="1" t="s">
        <v>501</v>
      </c>
      <c r="K101" s="1" t="s">
        <v>562</v>
      </c>
    </row>
    <row r="102" spans="1:11" x14ac:dyDescent="0.4">
      <c r="A102" s="1" t="s">
        <v>480</v>
      </c>
      <c r="B102" s="2" t="s">
        <v>27</v>
      </c>
      <c r="C102" s="2" t="s">
        <v>114</v>
      </c>
      <c r="D102" s="1" t="s">
        <v>492</v>
      </c>
      <c r="E102" s="1" t="s">
        <v>574</v>
      </c>
      <c r="F102" s="1" t="s">
        <v>6</v>
      </c>
      <c r="G102" s="1" t="s">
        <v>7</v>
      </c>
      <c r="H102" s="1" t="s">
        <v>6</v>
      </c>
      <c r="I102" s="1" t="s">
        <v>485</v>
      </c>
      <c r="J102" s="1" t="s">
        <v>501</v>
      </c>
      <c r="K102" s="1" t="s">
        <v>562</v>
      </c>
    </row>
    <row r="103" spans="1:11" x14ac:dyDescent="0.4">
      <c r="A103" s="1" t="s">
        <v>494</v>
      </c>
      <c r="B103" s="2" t="s">
        <v>5</v>
      </c>
      <c r="C103" s="2" t="s">
        <v>473</v>
      </c>
      <c r="D103" s="1" t="s">
        <v>493</v>
      </c>
      <c r="E103" s="1" t="s">
        <v>575</v>
      </c>
      <c r="F103" s="1" t="s">
        <v>7</v>
      </c>
      <c r="G103" s="1" t="s">
        <v>7</v>
      </c>
      <c r="H103" s="1" t="s">
        <v>7</v>
      </c>
      <c r="I103" s="1" t="s">
        <v>487</v>
      </c>
      <c r="J103" s="1" t="s">
        <v>479</v>
      </c>
      <c r="K103" s="1" t="s">
        <v>564</v>
      </c>
    </row>
    <row r="104" spans="1:11" x14ac:dyDescent="0.4">
      <c r="A104" s="1" t="s">
        <v>496</v>
      </c>
      <c r="B104" s="2" t="s">
        <v>491</v>
      </c>
      <c r="C104" s="2" t="s">
        <v>473</v>
      </c>
      <c r="D104" s="1" t="s">
        <v>495</v>
      </c>
      <c r="E104" s="1" t="s">
        <v>574</v>
      </c>
      <c r="F104" s="1" t="s">
        <v>7</v>
      </c>
      <c r="G104" s="1" t="s">
        <v>7</v>
      </c>
      <c r="H104" s="1" t="s">
        <v>6</v>
      </c>
      <c r="I104" s="1" t="s">
        <v>487</v>
      </c>
      <c r="J104" s="1" t="s">
        <v>479</v>
      </c>
      <c r="K104" s="1" t="s">
        <v>564</v>
      </c>
    </row>
    <row r="105" spans="1:11" x14ac:dyDescent="0.4">
      <c r="A105" s="1" t="s">
        <v>503</v>
      </c>
      <c r="B105" s="2" t="s">
        <v>5</v>
      </c>
      <c r="C105" s="1" t="s">
        <v>18</v>
      </c>
      <c r="D105" s="1" t="s">
        <v>497</v>
      </c>
      <c r="E105" s="1" t="s">
        <v>577</v>
      </c>
      <c r="I105" s="1" t="s">
        <v>489</v>
      </c>
      <c r="J105" s="1" t="s">
        <v>475</v>
      </c>
      <c r="K105" s="1" t="s">
        <v>562</v>
      </c>
    </row>
    <row r="106" spans="1:11" x14ac:dyDescent="0.4">
      <c r="A106" s="1" t="s">
        <v>504</v>
      </c>
      <c r="B106" s="2" t="s">
        <v>5</v>
      </c>
      <c r="C106" s="2" t="s">
        <v>473</v>
      </c>
      <c r="D106" s="6" t="s">
        <v>586</v>
      </c>
      <c r="E106" s="1" t="s">
        <v>810</v>
      </c>
      <c r="I106" s="1" t="s">
        <v>487</v>
      </c>
      <c r="J106" s="1" t="s">
        <v>479</v>
      </c>
      <c r="K106" s="1" t="s">
        <v>562</v>
      </c>
    </row>
    <row r="107" spans="1:11" x14ac:dyDescent="0.4">
      <c r="A107" s="1" t="s">
        <v>505</v>
      </c>
      <c r="B107" s="2" t="s">
        <v>491</v>
      </c>
      <c r="C107" s="2" t="s">
        <v>473</v>
      </c>
      <c r="D107" s="1" t="s">
        <v>498</v>
      </c>
      <c r="E107" s="1" t="s">
        <v>513</v>
      </c>
      <c r="I107" s="1" t="s">
        <v>500</v>
      </c>
      <c r="J107" s="1" t="s">
        <v>513</v>
      </c>
      <c r="K107" s="1" t="s">
        <v>564</v>
      </c>
    </row>
    <row r="108" spans="1:11" x14ac:dyDescent="0.4">
      <c r="A108" s="1" t="s">
        <v>506</v>
      </c>
      <c r="B108" s="2" t="s">
        <v>491</v>
      </c>
      <c r="C108" s="2" t="s">
        <v>473</v>
      </c>
      <c r="D108" s="1" t="s">
        <v>499</v>
      </c>
      <c r="E108" s="1" t="s">
        <v>574</v>
      </c>
      <c r="I108" s="1" t="s">
        <v>487</v>
      </c>
      <c r="J108" s="1" t="s">
        <v>501</v>
      </c>
      <c r="K108" s="1" t="s">
        <v>564</v>
      </c>
    </row>
    <row r="109" spans="1:11" x14ac:dyDescent="0.4">
      <c r="A109" s="1" t="s">
        <v>507</v>
      </c>
      <c r="B109" s="1" t="s">
        <v>491</v>
      </c>
      <c r="C109" s="2" t="s">
        <v>473</v>
      </c>
      <c r="D109" s="2" t="s">
        <v>509</v>
      </c>
      <c r="E109" s="1" t="s">
        <v>566</v>
      </c>
      <c r="I109" s="1" t="s">
        <v>487</v>
      </c>
      <c r="J109" s="1" t="s">
        <v>479</v>
      </c>
      <c r="K109" s="1" t="s">
        <v>564</v>
      </c>
    </row>
    <row r="110" spans="1:11" x14ac:dyDescent="0.4">
      <c r="A110" s="1" t="s">
        <v>508</v>
      </c>
      <c r="B110" s="1" t="s">
        <v>491</v>
      </c>
      <c r="C110" s="2" t="s">
        <v>473</v>
      </c>
      <c r="D110" s="2" t="s">
        <v>510</v>
      </c>
      <c r="E110" s="1" t="s">
        <v>566</v>
      </c>
      <c r="I110" s="1" t="s">
        <v>487</v>
      </c>
      <c r="J110" s="1" t="s">
        <v>479</v>
      </c>
      <c r="K110" s="1" t="s">
        <v>564</v>
      </c>
    </row>
    <row r="111" spans="1:11" x14ac:dyDescent="0.4">
      <c r="A111" s="1" t="s">
        <v>512</v>
      </c>
      <c r="B111" s="1" t="s">
        <v>491</v>
      </c>
      <c r="C111" s="2" t="s">
        <v>114</v>
      </c>
      <c r="D111" s="5" t="s">
        <v>511</v>
      </c>
      <c r="E111" s="1" t="s">
        <v>574</v>
      </c>
      <c r="I111" s="1" t="s">
        <v>477</v>
      </c>
      <c r="J111" s="1" t="s">
        <v>501</v>
      </c>
      <c r="K111" s="1" t="s">
        <v>562</v>
      </c>
    </row>
    <row r="112" spans="1:11" x14ac:dyDescent="0.4">
      <c r="A112" s="1" t="s">
        <v>516</v>
      </c>
      <c r="B112" s="1" t="s">
        <v>491</v>
      </c>
      <c r="C112" s="2" t="s">
        <v>114</v>
      </c>
      <c r="D112" s="1" t="s">
        <v>515</v>
      </c>
      <c r="E112" s="1" t="s">
        <v>574</v>
      </c>
      <c r="F112" s="1" t="s">
        <v>6</v>
      </c>
      <c r="I112" s="1" t="s">
        <v>517</v>
      </c>
      <c r="J112" s="1" t="s">
        <v>501</v>
      </c>
      <c r="K112" s="1" t="s">
        <v>562</v>
      </c>
    </row>
    <row r="113" spans="1:12" x14ac:dyDescent="0.4">
      <c r="A113" s="1" t="s">
        <v>519</v>
      </c>
      <c r="B113" s="2" t="s">
        <v>5</v>
      </c>
      <c r="C113" s="2" t="s">
        <v>473</v>
      </c>
      <c r="D113" s="1" t="s">
        <v>518</v>
      </c>
      <c r="E113" s="1" t="s">
        <v>810</v>
      </c>
      <c r="F113" s="1" t="s">
        <v>7</v>
      </c>
      <c r="G113" s="1" t="s">
        <v>7</v>
      </c>
      <c r="H113" s="1" t="s">
        <v>6</v>
      </c>
      <c r="I113" s="1" t="s">
        <v>500</v>
      </c>
      <c r="J113" s="1" t="s">
        <v>554</v>
      </c>
      <c r="K113" s="1" t="s">
        <v>562</v>
      </c>
    </row>
    <row r="114" spans="1:12" x14ac:dyDescent="0.4">
      <c r="A114" s="1" t="s">
        <v>521</v>
      </c>
      <c r="B114" s="2" t="s">
        <v>5</v>
      </c>
      <c r="C114" s="2" t="s">
        <v>114</v>
      </c>
      <c r="D114" s="1" t="s">
        <v>520</v>
      </c>
      <c r="E114" s="1" t="s">
        <v>574</v>
      </c>
      <c r="F114" s="1" t="s">
        <v>6</v>
      </c>
      <c r="I114" s="1" t="s">
        <v>477</v>
      </c>
      <c r="J114" s="1" t="s">
        <v>552</v>
      </c>
      <c r="K114" s="1" t="s">
        <v>562</v>
      </c>
    </row>
    <row r="115" spans="1:12" x14ac:dyDescent="0.4">
      <c r="A115" s="1" t="s">
        <v>523</v>
      </c>
      <c r="B115" s="2" t="s">
        <v>5</v>
      </c>
      <c r="C115" s="2" t="s">
        <v>473</v>
      </c>
      <c r="D115" s="1" t="s">
        <v>522</v>
      </c>
      <c r="E115" s="1" t="s">
        <v>566</v>
      </c>
      <c r="F115" s="1" t="s">
        <v>6</v>
      </c>
      <c r="G115" s="1" t="s">
        <v>6</v>
      </c>
      <c r="H115" s="1" t="s">
        <v>6</v>
      </c>
      <c r="I115" s="1" t="s">
        <v>487</v>
      </c>
      <c r="J115" s="1" t="s">
        <v>501</v>
      </c>
      <c r="K115" s="1" t="s">
        <v>564</v>
      </c>
    </row>
    <row r="116" spans="1:12" x14ac:dyDescent="0.4">
      <c r="A116" s="1" t="s">
        <v>525</v>
      </c>
      <c r="B116" s="2" t="s">
        <v>5</v>
      </c>
      <c r="C116" s="2" t="s">
        <v>114</v>
      </c>
      <c r="D116" s="1" t="s">
        <v>524</v>
      </c>
      <c r="E116" s="1" t="s">
        <v>566</v>
      </c>
      <c r="G116" s="1" t="s">
        <v>6</v>
      </c>
      <c r="H116" s="1" t="s">
        <v>7</v>
      </c>
      <c r="I116" s="1" t="s">
        <v>487</v>
      </c>
      <c r="J116" s="1" t="s">
        <v>526</v>
      </c>
      <c r="K116" s="1" t="s">
        <v>562</v>
      </c>
    </row>
    <row r="117" spans="1:12" x14ac:dyDescent="0.4">
      <c r="A117" s="1" t="s">
        <v>534</v>
      </c>
      <c r="B117" s="1" t="s">
        <v>3</v>
      </c>
      <c r="C117" s="2" t="s">
        <v>114</v>
      </c>
      <c r="D117" s="1" t="s">
        <v>527</v>
      </c>
      <c r="E117" s="1" t="s">
        <v>566</v>
      </c>
      <c r="F117" s="1" t="s">
        <v>6</v>
      </c>
      <c r="G117" s="1" t="s">
        <v>6</v>
      </c>
      <c r="H117" s="1" t="s">
        <v>7</v>
      </c>
      <c r="I117" s="2" t="s">
        <v>234</v>
      </c>
      <c r="J117" s="1" t="s">
        <v>475</v>
      </c>
      <c r="K117" s="1" t="s">
        <v>564</v>
      </c>
      <c r="L117" s="1">
        <v>1</v>
      </c>
    </row>
    <row r="118" spans="1:12" x14ac:dyDescent="0.4">
      <c r="A118" s="1" t="s">
        <v>535</v>
      </c>
      <c r="B118" s="1" t="s">
        <v>3</v>
      </c>
      <c r="C118" s="2" t="s">
        <v>114</v>
      </c>
      <c r="D118" s="2" t="s">
        <v>528</v>
      </c>
      <c r="E118" s="1" t="s">
        <v>566</v>
      </c>
      <c r="F118" s="1" t="s">
        <v>7</v>
      </c>
      <c r="G118" s="1" t="s">
        <v>6</v>
      </c>
      <c r="H118" s="1" t="s">
        <v>7</v>
      </c>
      <c r="I118" s="2" t="s">
        <v>234</v>
      </c>
      <c r="J118" s="1" t="s">
        <v>475</v>
      </c>
      <c r="K118" s="1" t="s">
        <v>562</v>
      </c>
      <c r="L118" s="1">
        <v>1</v>
      </c>
    </row>
    <row r="119" spans="1:12" x14ac:dyDescent="0.4">
      <c r="A119" s="1" t="s">
        <v>536</v>
      </c>
      <c r="B119" s="1" t="s">
        <v>3</v>
      </c>
      <c r="C119" s="2" t="s">
        <v>114</v>
      </c>
      <c r="D119" s="2" t="s">
        <v>529</v>
      </c>
      <c r="E119" s="1" t="s">
        <v>566</v>
      </c>
      <c r="F119" s="1" t="s">
        <v>7</v>
      </c>
      <c r="G119" s="1" t="s">
        <v>6</v>
      </c>
      <c r="H119" s="1" t="s">
        <v>7</v>
      </c>
      <c r="I119" s="2" t="s">
        <v>234</v>
      </c>
      <c r="J119" s="1" t="s">
        <v>475</v>
      </c>
      <c r="K119" s="1" t="s">
        <v>562</v>
      </c>
      <c r="L119" s="1">
        <v>1</v>
      </c>
    </row>
    <row r="120" spans="1:12" x14ac:dyDescent="0.4">
      <c r="A120" s="1" t="s">
        <v>537</v>
      </c>
      <c r="B120" s="1" t="s">
        <v>3</v>
      </c>
      <c r="C120" s="2" t="s">
        <v>114</v>
      </c>
      <c r="D120" s="2" t="s">
        <v>530</v>
      </c>
      <c r="E120" s="1" t="s">
        <v>566</v>
      </c>
      <c r="F120" s="1" t="s">
        <v>7</v>
      </c>
      <c r="G120" s="1" t="s">
        <v>6</v>
      </c>
      <c r="H120" s="1" t="s">
        <v>7</v>
      </c>
      <c r="I120" s="2" t="s">
        <v>234</v>
      </c>
      <c r="J120" s="1" t="s">
        <v>475</v>
      </c>
      <c r="K120" s="1" t="s">
        <v>562</v>
      </c>
    </row>
    <row r="121" spans="1:12" x14ac:dyDescent="0.4">
      <c r="A121" s="1" t="s">
        <v>538</v>
      </c>
      <c r="B121" s="2" t="s">
        <v>13</v>
      </c>
      <c r="C121" s="2" t="s">
        <v>114</v>
      </c>
      <c r="D121" s="1" t="s">
        <v>531</v>
      </c>
      <c r="E121" s="1" t="s">
        <v>566</v>
      </c>
      <c r="F121" s="1" t="s">
        <v>7</v>
      </c>
      <c r="G121" s="1" t="s">
        <v>6</v>
      </c>
      <c r="H121" s="1" t="s">
        <v>7</v>
      </c>
      <c r="I121" s="2" t="s">
        <v>234</v>
      </c>
      <c r="J121" s="1" t="s">
        <v>475</v>
      </c>
      <c r="K121" s="1" t="s">
        <v>562</v>
      </c>
      <c r="L121" s="1">
        <v>2</v>
      </c>
    </row>
    <row r="122" spans="1:12" x14ac:dyDescent="0.4">
      <c r="A122" s="1" t="s">
        <v>539</v>
      </c>
      <c r="B122" s="1" t="s">
        <v>3</v>
      </c>
      <c r="C122" s="2" t="s">
        <v>114</v>
      </c>
      <c r="D122" s="1" t="s">
        <v>532</v>
      </c>
      <c r="E122" s="1" t="s">
        <v>566</v>
      </c>
      <c r="F122" s="1" t="s">
        <v>7</v>
      </c>
      <c r="G122" s="1" t="s">
        <v>6</v>
      </c>
      <c r="H122" s="1" t="s">
        <v>7</v>
      </c>
      <c r="I122" s="2" t="s">
        <v>234</v>
      </c>
      <c r="J122" s="1" t="s">
        <v>475</v>
      </c>
      <c r="K122" s="1" t="s">
        <v>562</v>
      </c>
      <c r="L122" s="1">
        <v>1</v>
      </c>
    </row>
    <row r="123" spans="1:12" x14ac:dyDescent="0.4">
      <c r="A123" s="1" t="s">
        <v>541</v>
      </c>
      <c r="B123" s="2" t="s">
        <v>27</v>
      </c>
      <c r="C123" s="2" t="s">
        <v>473</v>
      </c>
      <c r="D123" s="6" t="s">
        <v>641</v>
      </c>
      <c r="E123" s="1" t="s">
        <v>513</v>
      </c>
      <c r="F123" s="1" t="s">
        <v>6</v>
      </c>
      <c r="G123" s="1" t="s">
        <v>6</v>
      </c>
      <c r="H123" s="1" t="s">
        <v>7</v>
      </c>
      <c r="I123" s="1" t="s">
        <v>487</v>
      </c>
      <c r="J123" s="1" t="s">
        <v>526</v>
      </c>
      <c r="K123" s="1" t="s">
        <v>560</v>
      </c>
    </row>
    <row r="124" spans="1:12" x14ac:dyDescent="0.4">
      <c r="A124" s="1" t="s">
        <v>544</v>
      </c>
      <c r="B124" s="1" t="s">
        <v>3</v>
      </c>
      <c r="C124" s="2" t="s">
        <v>114</v>
      </c>
      <c r="D124" s="1" t="s">
        <v>542</v>
      </c>
      <c r="E124" s="1" t="s">
        <v>566</v>
      </c>
      <c r="F124" s="1" t="s">
        <v>7</v>
      </c>
      <c r="G124" s="1" t="s">
        <v>6</v>
      </c>
      <c r="H124" s="1" t="s">
        <v>7</v>
      </c>
      <c r="I124" s="1" t="s">
        <v>485</v>
      </c>
      <c r="J124" s="1" t="s">
        <v>475</v>
      </c>
      <c r="K124" s="1" t="s">
        <v>562</v>
      </c>
      <c r="L124" s="1">
        <v>1</v>
      </c>
    </row>
    <row r="125" spans="1:12" x14ac:dyDescent="0.4">
      <c r="A125" s="1" t="s">
        <v>545</v>
      </c>
      <c r="B125" s="1" t="s">
        <v>3</v>
      </c>
      <c r="C125" s="2" t="s">
        <v>114</v>
      </c>
      <c r="D125" s="1" t="s">
        <v>543</v>
      </c>
      <c r="E125" s="1" t="s">
        <v>566</v>
      </c>
      <c r="F125" s="1" t="s">
        <v>7</v>
      </c>
      <c r="G125" s="1" t="s">
        <v>6</v>
      </c>
      <c r="H125" s="1" t="s">
        <v>7</v>
      </c>
      <c r="I125" s="1" t="s">
        <v>485</v>
      </c>
      <c r="J125" s="1" t="s">
        <v>475</v>
      </c>
      <c r="K125" s="1" t="s">
        <v>560</v>
      </c>
      <c r="L125" s="1">
        <v>1</v>
      </c>
    </row>
    <row r="126" spans="1:12" x14ac:dyDescent="0.4">
      <c r="A126" s="1" t="s">
        <v>547</v>
      </c>
      <c r="B126" s="1" t="s">
        <v>3</v>
      </c>
      <c r="C126" s="2" t="s">
        <v>114</v>
      </c>
      <c r="D126" s="1" t="s">
        <v>546</v>
      </c>
      <c r="E126" s="1" t="s">
        <v>566</v>
      </c>
      <c r="F126" s="1" t="s">
        <v>6</v>
      </c>
      <c r="G126" s="1" t="s">
        <v>6</v>
      </c>
      <c r="H126" s="1" t="s">
        <v>7</v>
      </c>
      <c r="I126" s="1" t="s">
        <v>477</v>
      </c>
      <c r="J126" s="1" t="s">
        <v>552</v>
      </c>
      <c r="K126" s="1" t="s">
        <v>560</v>
      </c>
    </row>
    <row r="127" spans="1:12" x14ac:dyDescent="0.4">
      <c r="A127" s="1" t="s">
        <v>550</v>
      </c>
      <c r="B127" s="1" t="s">
        <v>3</v>
      </c>
      <c r="C127" s="2" t="s">
        <v>474</v>
      </c>
      <c r="D127" s="1" t="s">
        <v>548</v>
      </c>
      <c r="E127" s="1" t="s">
        <v>566</v>
      </c>
      <c r="F127" s="1" t="s">
        <v>6</v>
      </c>
      <c r="G127" s="1" t="s">
        <v>6</v>
      </c>
      <c r="H127" s="1" t="s">
        <v>7</v>
      </c>
      <c r="I127" s="1" t="s">
        <v>489</v>
      </c>
      <c r="J127" s="1" t="s">
        <v>479</v>
      </c>
      <c r="K127" s="1" t="s">
        <v>562</v>
      </c>
    </row>
    <row r="128" spans="1:12" x14ac:dyDescent="0.4">
      <c r="A128" s="1" t="s">
        <v>551</v>
      </c>
      <c r="B128" s="1" t="s">
        <v>3</v>
      </c>
      <c r="C128" s="2" t="s">
        <v>474</v>
      </c>
      <c r="D128" s="1" t="s">
        <v>549</v>
      </c>
      <c r="E128" s="1" t="s">
        <v>566</v>
      </c>
      <c r="F128" s="1" t="s">
        <v>6</v>
      </c>
      <c r="G128" s="1" t="s">
        <v>6</v>
      </c>
      <c r="H128" s="1" t="s">
        <v>7</v>
      </c>
      <c r="I128" s="1" t="s">
        <v>489</v>
      </c>
      <c r="J128" s="1" t="s">
        <v>479</v>
      </c>
      <c r="K128" s="1" t="s">
        <v>562</v>
      </c>
    </row>
    <row r="129" spans="1:12" x14ac:dyDescent="0.4">
      <c r="A129" s="1" t="s">
        <v>557</v>
      </c>
      <c r="B129" s="1" t="s">
        <v>3</v>
      </c>
      <c r="C129" s="2" t="s">
        <v>114</v>
      </c>
      <c r="D129" s="1" t="s">
        <v>556</v>
      </c>
      <c r="E129" s="1" t="s">
        <v>566</v>
      </c>
      <c r="F129" s="1" t="s">
        <v>6</v>
      </c>
      <c r="G129" s="1" t="s">
        <v>6</v>
      </c>
      <c r="H129" s="1" t="s">
        <v>7</v>
      </c>
      <c r="I129" s="1" t="s">
        <v>485</v>
      </c>
      <c r="J129" s="1" t="s">
        <v>479</v>
      </c>
      <c r="K129" s="1" t="s">
        <v>560</v>
      </c>
      <c r="L129" s="1">
        <v>2</v>
      </c>
    </row>
    <row r="130" spans="1:12" x14ac:dyDescent="0.4">
      <c r="A130" s="1" t="s">
        <v>570</v>
      </c>
      <c r="B130" s="2" t="s">
        <v>27</v>
      </c>
      <c r="C130" s="2" t="s">
        <v>114</v>
      </c>
      <c r="D130" s="1" t="s">
        <v>568</v>
      </c>
      <c r="E130" s="1" t="s">
        <v>577</v>
      </c>
      <c r="F130" s="1" t="s">
        <v>6</v>
      </c>
      <c r="G130" s="1" t="s">
        <v>6</v>
      </c>
      <c r="H130" s="1" t="s">
        <v>7</v>
      </c>
      <c r="I130" s="1" t="s">
        <v>489</v>
      </c>
      <c r="J130" s="1" t="s">
        <v>479</v>
      </c>
      <c r="K130" s="1" t="s">
        <v>562</v>
      </c>
    </row>
    <row r="131" spans="1:12" x14ac:dyDescent="0.4">
      <c r="A131" s="1" t="s">
        <v>571</v>
      </c>
      <c r="B131" s="2" t="s">
        <v>27</v>
      </c>
      <c r="C131" s="2" t="s">
        <v>474</v>
      </c>
      <c r="D131" s="1" t="s">
        <v>569</v>
      </c>
      <c r="E131" s="1" t="s">
        <v>577</v>
      </c>
      <c r="F131" s="1" t="s">
        <v>6</v>
      </c>
      <c r="G131" s="1" t="s">
        <v>6</v>
      </c>
      <c r="H131" s="1" t="s">
        <v>7</v>
      </c>
      <c r="I131" s="1" t="s">
        <v>489</v>
      </c>
      <c r="J131" s="1" t="s">
        <v>479</v>
      </c>
      <c r="K131" s="1" t="s">
        <v>564</v>
      </c>
    </row>
    <row r="132" spans="1:12" x14ac:dyDescent="0.4">
      <c r="A132" s="1" t="s">
        <v>573</v>
      </c>
      <c r="B132" s="1" t="s">
        <v>3</v>
      </c>
      <c r="C132" s="2" t="s">
        <v>114</v>
      </c>
      <c r="D132" s="1" t="s">
        <v>572</v>
      </c>
      <c r="E132" s="1" t="s">
        <v>566</v>
      </c>
      <c r="F132" s="1" t="s">
        <v>6</v>
      </c>
      <c r="G132" s="1" t="s">
        <v>6</v>
      </c>
      <c r="H132" s="1" t="s">
        <v>7</v>
      </c>
      <c r="I132" s="1" t="s">
        <v>517</v>
      </c>
      <c r="J132" s="1" t="s">
        <v>475</v>
      </c>
      <c r="K132" s="1" t="s">
        <v>562</v>
      </c>
    </row>
    <row r="133" spans="1:12" x14ac:dyDescent="0.4">
      <c r="A133" s="1" t="s">
        <v>579</v>
      </c>
      <c r="B133" s="2" t="s">
        <v>5</v>
      </c>
      <c r="C133" s="2" t="s">
        <v>474</v>
      </c>
      <c r="D133" s="1" t="s">
        <v>578</v>
      </c>
      <c r="E133" s="1" t="s">
        <v>577</v>
      </c>
      <c r="F133" s="1" t="s">
        <v>7</v>
      </c>
      <c r="G133" s="1" t="s">
        <v>7</v>
      </c>
      <c r="H133" s="1" t="s">
        <v>6</v>
      </c>
      <c r="I133" s="1" t="s">
        <v>489</v>
      </c>
      <c r="J133" s="1" t="s">
        <v>479</v>
      </c>
      <c r="K133" s="1" t="s">
        <v>562</v>
      </c>
    </row>
    <row r="134" spans="1:12" x14ac:dyDescent="0.4">
      <c r="A134" s="1" t="s">
        <v>580</v>
      </c>
      <c r="B134" s="2" t="s">
        <v>5</v>
      </c>
      <c r="C134" s="2" t="s">
        <v>474</v>
      </c>
      <c r="D134" s="1" t="s">
        <v>295</v>
      </c>
      <c r="E134" s="1" t="s">
        <v>513</v>
      </c>
      <c r="F134" s="1" t="s">
        <v>7</v>
      </c>
      <c r="G134" s="1" t="s">
        <v>7</v>
      </c>
      <c r="H134" s="1" t="s">
        <v>7</v>
      </c>
      <c r="I134" s="1" t="s">
        <v>581</v>
      </c>
      <c r="J134" s="1" t="s">
        <v>513</v>
      </c>
      <c r="K134" s="1" t="s">
        <v>564</v>
      </c>
    </row>
    <row r="135" spans="1:12" x14ac:dyDescent="0.4">
      <c r="A135" s="1" t="s">
        <v>584</v>
      </c>
      <c r="B135" s="2" t="s">
        <v>5</v>
      </c>
      <c r="C135" s="2" t="s">
        <v>114</v>
      </c>
      <c r="D135" s="1" t="s">
        <v>582</v>
      </c>
      <c r="E135" s="1" t="s">
        <v>577</v>
      </c>
      <c r="F135" s="1" t="s">
        <v>7</v>
      </c>
      <c r="G135" s="1" t="s">
        <v>7</v>
      </c>
      <c r="H135" s="1" t="s">
        <v>7</v>
      </c>
      <c r="I135" s="1" t="s">
        <v>477</v>
      </c>
      <c r="J135" s="1" t="s">
        <v>475</v>
      </c>
      <c r="K135" s="1" t="s">
        <v>562</v>
      </c>
    </row>
    <row r="136" spans="1:12" x14ac:dyDescent="0.4">
      <c r="A136" s="1" t="s">
        <v>585</v>
      </c>
      <c r="B136" s="2" t="s">
        <v>5</v>
      </c>
      <c r="C136" s="2" t="s">
        <v>114</v>
      </c>
      <c r="D136" s="1" t="s">
        <v>583</v>
      </c>
      <c r="E136" s="1" t="s">
        <v>577</v>
      </c>
      <c r="F136" s="1" t="s">
        <v>7</v>
      </c>
      <c r="G136" s="1" t="s">
        <v>7</v>
      </c>
      <c r="H136" s="1" t="s">
        <v>7</v>
      </c>
      <c r="I136" s="1" t="s">
        <v>517</v>
      </c>
      <c r="J136" s="1" t="s">
        <v>475</v>
      </c>
      <c r="K136" s="1" t="s">
        <v>562</v>
      </c>
    </row>
    <row r="137" spans="1:12" x14ac:dyDescent="0.4">
      <c r="A137" s="1" t="s">
        <v>591</v>
      </c>
      <c r="B137" s="1" t="s">
        <v>5</v>
      </c>
      <c r="C137" s="1" t="s">
        <v>473</v>
      </c>
      <c r="D137" s="6" t="s">
        <v>587</v>
      </c>
      <c r="E137" s="1" t="s">
        <v>810</v>
      </c>
      <c r="F137" s="1" t="s">
        <v>7</v>
      </c>
      <c r="G137" s="1" t="s">
        <v>7</v>
      </c>
      <c r="H137" s="1" t="s">
        <v>7</v>
      </c>
      <c r="I137" s="1" t="s">
        <v>487</v>
      </c>
      <c r="J137" s="1" t="s">
        <v>479</v>
      </c>
      <c r="K137" s="1" t="s">
        <v>562</v>
      </c>
    </row>
    <row r="138" spans="1:12" x14ac:dyDescent="0.4">
      <c r="A138" s="1" t="s">
        <v>592</v>
      </c>
      <c r="B138" s="1" t="s">
        <v>5</v>
      </c>
      <c r="C138" s="1" t="s">
        <v>473</v>
      </c>
      <c r="D138" s="6" t="s">
        <v>588</v>
      </c>
      <c r="E138" s="1" t="s">
        <v>810</v>
      </c>
      <c r="F138" s="1" t="s">
        <v>7</v>
      </c>
      <c r="G138" s="1" t="s">
        <v>7</v>
      </c>
      <c r="H138" s="1" t="s">
        <v>7</v>
      </c>
      <c r="I138" s="1" t="s">
        <v>487</v>
      </c>
      <c r="J138" s="1" t="s">
        <v>479</v>
      </c>
      <c r="K138" s="1" t="s">
        <v>562</v>
      </c>
    </row>
    <row r="139" spans="1:12" x14ac:dyDescent="0.4">
      <c r="A139" s="1" t="s">
        <v>593</v>
      </c>
      <c r="B139" s="1" t="s">
        <v>5</v>
      </c>
      <c r="C139" s="1" t="s">
        <v>473</v>
      </c>
      <c r="D139" s="2" t="s">
        <v>589</v>
      </c>
      <c r="E139" s="1" t="s">
        <v>810</v>
      </c>
      <c r="F139" s="1" t="s">
        <v>7</v>
      </c>
      <c r="G139" s="1" t="s">
        <v>7</v>
      </c>
      <c r="H139" s="1" t="s">
        <v>7</v>
      </c>
      <c r="I139" s="1" t="s">
        <v>487</v>
      </c>
      <c r="J139" s="1" t="s">
        <v>479</v>
      </c>
      <c r="K139" s="1" t="s">
        <v>562</v>
      </c>
    </row>
    <row r="140" spans="1:12" x14ac:dyDescent="0.4">
      <c r="A140" s="1" t="s">
        <v>594</v>
      </c>
      <c r="B140" s="1" t="s">
        <v>5</v>
      </c>
      <c r="C140" s="1" t="s">
        <v>473</v>
      </c>
      <c r="D140" s="2" t="s">
        <v>257</v>
      </c>
      <c r="E140" s="1" t="s">
        <v>810</v>
      </c>
      <c r="F140" s="1" t="s">
        <v>7</v>
      </c>
      <c r="G140" s="1" t="s">
        <v>7</v>
      </c>
      <c r="H140" s="1" t="s">
        <v>7</v>
      </c>
      <c r="I140" s="1" t="s">
        <v>487</v>
      </c>
      <c r="J140" s="1" t="s">
        <v>479</v>
      </c>
      <c r="K140" s="1" t="s">
        <v>562</v>
      </c>
    </row>
    <row r="141" spans="1:12" x14ac:dyDescent="0.4">
      <c r="A141" s="1" t="s">
        <v>595</v>
      </c>
      <c r="B141" s="1" t="s">
        <v>5</v>
      </c>
      <c r="C141" s="1" t="s">
        <v>473</v>
      </c>
      <c r="D141" s="2" t="s">
        <v>590</v>
      </c>
      <c r="E141" s="1" t="s">
        <v>810</v>
      </c>
      <c r="F141" s="1" t="s">
        <v>7</v>
      </c>
      <c r="G141" s="1" t="s">
        <v>7</v>
      </c>
      <c r="H141" s="1" t="s">
        <v>7</v>
      </c>
      <c r="I141" s="1" t="s">
        <v>487</v>
      </c>
      <c r="J141" s="1" t="s">
        <v>479</v>
      </c>
      <c r="K141" s="1" t="s">
        <v>562</v>
      </c>
    </row>
    <row r="142" spans="1:12" x14ac:dyDescent="0.4">
      <c r="A142" s="1" t="s">
        <v>597</v>
      </c>
      <c r="B142" s="1" t="s">
        <v>5</v>
      </c>
      <c r="C142" s="1" t="s">
        <v>473</v>
      </c>
      <c r="D142" s="1" t="s">
        <v>596</v>
      </c>
      <c r="E142" s="1" t="s">
        <v>810</v>
      </c>
      <c r="F142" s="1" t="s">
        <v>7</v>
      </c>
      <c r="G142" s="1" t="s">
        <v>7</v>
      </c>
      <c r="H142" s="1" t="s">
        <v>7</v>
      </c>
      <c r="I142" s="1" t="s">
        <v>487</v>
      </c>
      <c r="J142" s="1" t="s">
        <v>479</v>
      </c>
      <c r="K142" s="1" t="s">
        <v>564</v>
      </c>
    </row>
    <row r="143" spans="1:12" x14ac:dyDescent="0.4">
      <c r="A143" s="1" t="s">
        <v>599</v>
      </c>
      <c r="B143" s="2" t="s">
        <v>5</v>
      </c>
      <c r="C143" s="2" t="s">
        <v>474</v>
      </c>
      <c r="D143" s="1" t="s">
        <v>598</v>
      </c>
      <c r="E143" s="1" t="s">
        <v>577</v>
      </c>
      <c r="F143" s="1" t="s">
        <v>7</v>
      </c>
      <c r="G143" s="1" t="s">
        <v>7</v>
      </c>
      <c r="H143" s="1" t="s">
        <v>6</v>
      </c>
      <c r="I143" s="1" t="s">
        <v>489</v>
      </c>
      <c r="J143" s="1" t="s">
        <v>475</v>
      </c>
      <c r="K143" s="1" t="s">
        <v>562</v>
      </c>
    </row>
    <row r="144" spans="1:12" x14ac:dyDescent="0.4">
      <c r="A144" s="1" t="s">
        <v>601</v>
      </c>
      <c r="B144" s="2" t="s">
        <v>5</v>
      </c>
      <c r="C144" s="1" t="s">
        <v>473</v>
      </c>
      <c r="D144" s="1" t="s">
        <v>600</v>
      </c>
      <c r="E144" s="1" t="s">
        <v>566</v>
      </c>
      <c r="F144" s="1" t="s">
        <v>7</v>
      </c>
      <c r="G144" s="1" t="s">
        <v>7</v>
      </c>
      <c r="H144" s="1" t="s">
        <v>6</v>
      </c>
      <c r="I144" s="1" t="s">
        <v>487</v>
      </c>
      <c r="J144" s="1" t="s">
        <v>554</v>
      </c>
      <c r="K144" s="1" t="s">
        <v>562</v>
      </c>
    </row>
    <row r="145" spans="1:13" x14ac:dyDescent="0.4">
      <c r="A145" s="1" t="s">
        <v>603</v>
      </c>
      <c r="B145" s="2" t="s">
        <v>5</v>
      </c>
      <c r="C145" s="2" t="s">
        <v>114</v>
      </c>
      <c r="D145" s="1" t="s">
        <v>602</v>
      </c>
      <c r="E145" s="1" t="s">
        <v>577</v>
      </c>
      <c r="F145" s="1" t="s">
        <v>7</v>
      </c>
      <c r="G145" s="1" t="s">
        <v>7</v>
      </c>
      <c r="H145" s="1" t="s">
        <v>6</v>
      </c>
      <c r="I145" s="1" t="s">
        <v>485</v>
      </c>
      <c r="J145" s="1" t="s">
        <v>475</v>
      </c>
      <c r="K145" s="1" t="s">
        <v>564</v>
      </c>
    </row>
    <row r="146" spans="1:13" x14ac:dyDescent="0.4">
      <c r="A146" s="1" t="s">
        <v>605</v>
      </c>
      <c r="B146" s="2" t="s">
        <v>5</v>
      </c>
      <c r="C146" s="2" t="s">
        <v>474</v>
      </c>
      <c r="D146" s="1" t="s">
        <v>604</v>
      </c>
      <c r="E146" s="1" t="s">
        <v>574</v>
      </c>
      <c r="F146" s="1" t="s">
        <v>7</v>
      </c>
      <c r="G146" s="1" t="s">
        <v>7</v>
      </c>
      <c r="H146" s="1" t="s">
        <v>6</v>
      </c>
      <c r="I146" s="1" t="s">
        <v>489</v>
      </c>
      <c r="J146" s="1" t="s">
        <v>501</v>
      </c>
      <c r="K146" s="1" t="s">
        <v>564</v>
      </c>
    </row>
    <row r="147" spans="1:13" x14ac:dyDescent="0.4">
      <c r="A147" s="1" t="s">
        <v>609</v>
      </c>
      <c r="B147" s="2" t="s">
        <v>5</v>
      </c>
      <c r="C147" s="2" t="s">
        <v>114</v>
      </c>
      <c r="D147" s="1" t="s">
        <v>606</v>
      </c>
      <c r="E147" s="1" t="s">
        <v>577</v>
      </c>
      <c r="F147" s="1" t="s">
        <v>7</v>
      </c>
      <c r="G147" s="1" t="s">
        <v>7</v>
      </c>
      <c r="H147" s="1" t="s">
        <v>7</v>
      </c>
      <c r="I147" s="1" t="s">
        <v>517</v>
      </c>
      <c r="J147" s="1" t="s">
        <v>475</v>
      </c>
      <c r="K147" s="1" t="s">
        <v>564</v>
      </c>
    </row>
    <row r="148" spans="1:13" x14ac:dyDescent="0.4">
      <c r="A148" s="1" t="s">
        <v>610</v>
      </c>
      <c r="B148" s="2" t="s">
        <v>491</v>
      </c>
      <c r="C148" s="2" t="s">
        <v>114</v>
      </c>
      <c r="D148" s="6" t="s">
        <v>607</v>
      </c>
      <c r="E148" s="1" t="s">
        <v>566</v>
      </c>
      <c r="F148" s="1" t="s">
        <v>7</v>
      </c>
      <c r="G148" s="1" t="s">
        <v>6</v>
      </c>
      <c r="H148" s="1" t="s">
        <v>7</v>
      </c>
      <c r="I148" s="1" t="s">
        <v>608</v>
      </c>
      <c r="J148" s="1" t="s">
        <v>552</v>
      </c>
      <c r="K148" s="1" t="s">
        <v>560</v>
      </c>
      <c r="M148" s="2" t="s">
        <v>120</v>
      </c>
    </row>
    <row r="149" spans="1:13" x14ac:dyDescent="0.4">
      <c r="A149" s="1" t="s">
        <v>613</v>
      </c>
      <c r="B149" s="2" t="s">
        <v>491</v>
      </c>
      <c r="C149" s="1" t="s">
        <v>473</v>
      </c>
      <c r="D149" s="1" t="s">
        <v>611</v>
      </c>
      <c r="E149" s="1" t="s">
        <v>566</v>
      </c>
      <c r="F149" s="1" t="s">
        <v>6</v>
      </c>
      <c r="G149" s="1" t="s">
        <v>6</v>
      </c>
      <c r="H149" s="1" t="s">
        <v>7</v>
      </c>
      <c r="I149" s="1" t="s">
        <v>500</v>
      </c>
      <c r="J149" s="1" t="s">
        <v>479</v>
      </c>
      <c r="K149" s="1" t="s">
        <v>564</v>
      </c>
      <c r="L149" s="1">
        <v>2</v>
      </c>
    </row>
    <row r="150" spans="1:13" x14ac:dyDescent="0.4">
      <c r="A150" s="1" t="s">
        <v>614</v>
      </c>
      <c r="B150" s="2" t="s">
        <v>491</v>
      </c>
      <c r="C150" s="1" t="s">
        <v>473</v>
      </c>
      <c r="D150" s="1" t="s">
        <v>612</v>
      </c>
      <c r="E150" s="1" t="s">
        <v>566</v>
      </c>
      <c r="F150" s="1" t="s">
        <v>6</v>
      </c>
      <c r="G150" s="1" t="s">
        <v>6</v>
      </c>
      <c r="H150" s="1" t="s">
        <v>7</v>
      </c>
      <c r="I150" s="1" t="s">
        <v>487</v>
      </c>
      <c r="J150" s="1" t="s">
        <v>479</v>
      </c>
      <c r="K150" s="1" t="s">
        <v>562</v>
      </c>
    </row>
    <row r="151" spans="1:13" x14ac:dyDescent="0.4">
      <c r="A151" s="1" t="s">
        <v>623</v>
      </c>
      <c r="B151" s="2" t="s">
        <v>491</v>
      </c>
      <c r="C151" s="1" t="s">
        <v>473</v>
      </c>
      <c r="D151" s="1" t="s">
        <v>615</v>
      </c>
      <c r="E151" s="1" t="s">
        <v>566</v>
      </c>
      <c r="I151" s="1" t="s">
        <v>487</v>
      </c>
      <c r="J151" s="1" t="s">
        <v>478</v>
      </c>
      <c r="K151" s="1" t="s">
        <v>562</v>
      </c>
    </row>
    <row r="152" spans="1:13" x14ac:dyDescent="0.4">
      <c r="A152" s="1" t="s">
        <v>624</v>
      </c>
      <c r="B152" s="2" t="s">
        <v>491</v>
      </c>
      <c r="C152" s="1" t="s">
        <v>473</v>
      </c>
      <c r="D152" s="1" t="s">
        <v>616</v>
      </c>
      <c r="E152" s="1" t="s">
        <v>566</v>
      </c>
      <c r="I152" s="1" t="s">
        <v>487</v>
      </c>
      <c r="J152" s="1" t="s">
        <v>478</v>
      </c>
      <c r="K152" s="1" t="s">
        <v>562</v>
      </c>
    </row>
    <row r="153" spans="1:13" x14ac:dyDescent="0.4">
      <c r="A153" s="1" t="s">
        <v>625</v>
      </c>
      <c r="B153" s="2" t="s">
        <v>491</v>
      </c>
      <c r="C153" s="1" t="s">
        <v>473</v>
      </c>
      <c r="D153" s="1" t="s">
        <v>617</v>
      </c>
      <c r="E153" s="1" t="s">
        <v>566</v>
      </c>
      <c r="I153" s="1" t="s">
        <v>487</v>
      </c>
      <c r="J153" s="1" t="s">
        <v>552</v>
      </c>
      <c r="K153" s="1" t="s">
        <v>562</v>
      </c>
    </row>
    <row r="154" spans="1:13" x14ac:dyDescent="0.4">
      <c r="A154" s="1" t="s">
        <v>626</v>
      </c>
      <c r="B154" s="2" t="s">
        <v>491</v>
      </c>
      <c r="C154" s="1" t="s">
        <v>473</v>
      </c>
      <c r="D154" s="1" t="s">
        <v>618</v>
      </c>
      <c r="E154" s="1" t="s">
        <v>566</v>
      </c>
      <c r="I154" s="1" t="s">
        <v>487</v>
      </c>
      <c r="J154" s="1" t="s">
        <v>526</v>
      </c>
      <c r="K154" s="1" t="s">
        <v>562</v>
      </c>
    </row>
    <row r="155" spans="1:13" x14ac:dyDescent="0.4">
      <c r="A155" s="1" t="s">
        <v>627</v>
      </c>
      <c r="B155" s="2" t="s">
        <v>35</v>
      </c>
      <c r="C155" s="1" t="s">
        <v>473</v>
      </c>
      <c r="D155" s="1" t="s">
        <v>619</v>
      </c>
      <c r="E155" s="1" t="s">
        <v>566</v>
      </c>
      <c r="I155" s="1" t="s">
        <v>487</v>
      </c>
      <c r="J155" s="1" t="s">
        <v>526</v>
      </c>
      <c r="K155" s="1" t="s">
        <v>560</v>
      </c>
    </row>
    <row r="156" spans="1:13" x14ac:dyDescent="0.4">
      <c r="A156" s="1" t="s">
        <v>628</v>
      </c>
      <c r="B156" s="2" t="s">
        <v>491</v>
      </c>
      <c r="C156" s="1" t="s">
        <v>473</v>
      </c>
      <c r="D156" s="1" t="s">
        <v>620</v>
      </c>
      <c r="E156" s="1" t="s">
        <v>566</v>
      </c>
      <c r="I156" s="1" t="s">
        <v>487</v>
      </c>
      <c r="J156" s="1" t="s">
        <v>526</v>
      </c>
      <c r="K156" s="1" t="s">
        <v>562</v>
      </c>
    </row>
    <row r="157" spans="1:13" x14ac:dyDescent="0.4">
      <c r="A157" s="1" t="s">
        <v>629</v>
      </c>
      <c r="B157" s="2" t="s">
        <v>491</v>
      </c>
      <c r="C157" s="1" t="s">
        <v>473</v>
      </c>
      <c r="D157" s="1" t="s">
        <v>621</v>
      </c>
      <c r="E157" s="1" t="s">
        <v>566</v>
      </c>
      <c r="I157" s="1" t="s">
        <v>487</v>
      </c>
      <c r="J157" s="1" t="s">
        <v>526</v>
      </c>
      <c r="K157" s="1" t="s">
        <v>560</v>
      </c>
    </row>
    <row r="158" spans="1:13" x14ac:dyDescent="0.4">
      <c r="A158" s="1" t="s">
        <v>630</v>
      </c>
      <c r="B158" s="2" t="s">
        <v>491</v>
      </c>
      <c r="C158" s="1" t="s">
        <v>473</v>
      </c>
      <c r="D158" s="1" t="s">
        <v>622</v>
      </c>
      <c r="E158" s="1" t="s">
        <v>566</v>
      </c>
      <c r="I158" s="1" t="s">
        <v>487</v>
      </c>
      <c r="J158" s="1" t="s">
        <v>479</v>
      </c>
      <c r="K158" s="1" t="s">
        <v>562</v>
      </c>
    </row>
    <row r="159" spans="1:13" x14ac:dyDescent="0.4">
      <c r="A159" s="1" t="s">
        <v>635</v>
      </c>
      <c r="B159" s="2" t="s">
        <v>491</v>
      </c>
      <c r="C159" s="1" t="s">
        <v>473</v>
      </c>
      <c r="D159" s="1" t="s">
        <v>631</v>
      </c>
      <c r="E159" s="1" t="s">
        <v>566</v>
      </c>
      <c r="I159" s="1" t="s">
        <v>487</v>
      </c>
      <c r="J159" s="1" t="s">
        <v>475</v>
      </c>
      <c r="K159" s="1" t="s">
        <v>560</v>
      </c>
    </row>
    <row r="160" spans="1:13" x14ac:dyDescent="0.4">
      <c r="A160" s="1" t="s">
        <v>636</v>
      </c>
      <c r="B160" s="2" t="s">
        <v>491</v>
      </c>
      <c r="C160" s="1" t="s">
        <v>473</v>
      </c>
      <c r="D160" s="1" t="s">
        <v>632</v>
      </c>
      <c r="E160" s="1" t="s">
        <v>566</v>
      </c>
      <c r="I160" s="1" t="s">
        <v>487</v>
      </c>
      <c r="J160" s="1" t="s">
        <v>475</v>
      </c>
      <c r="K160" s="1" t="s">
        <v>562</v>
      </c>
    </row>
    <row r="161" spans="1:13" x14ac:dyDescent="0.4">
      <c r="A161" s="1" t="s">
        <v>637</v>
      </c>
      <c r="B161" s="2" t="s">
        <v>111</v>
      </c>
      <c r="C161" s="1" t="s">
        <v>473</v>
      </c>
      <c r="D161" s="2" t="s">
        <v>633</v>
      </c>
      <c r="E161" s="1" t="s">
        <v>566</v>
      </c>
      <c r="I161" s="1" t="s">
        <v>500</v>
      </c>
      <c r="J161" s="1" t="s">
        <v>526</v>
      </c>
      <c r="K161" s="1" t="s">
        <v>560</v>
      </c>
    </row>
    <row r="162" spans="1:13" x14ac:dyDescent="0.4">
      <c r="A162" s="1" t="s">
        <v>638</v>
      </c>
      <c r="B162" s="2" t="s">
        <v>111</v>
      </c>
      <c r="C162" s="1" t="s">
        <v>473</v>
      </c>
      <c r="D162" s="1" t="s">
        <v>634</v>
      </c>
      <c r="E162" s="1" t="s">
        <v>566</v>
      </c>
      <c r="I162" s="1" t="s">
        <v>487</v>
      </c>
      <c r="J162" s="1" t="s">
        <v>479</v>
      </c>
      <c r="K162" s="1" t="s">
        <v>562</v>
      </c>
    </row>
    <row r="163" spans="1:13" x14ac:dyDescent="0.4">
      <c r="A163" s="1" t="s">
        <v>640</v>
      </c>
      <c r="B163" s="2" t="s">
        <v>27</v>
      </c>
      <c r="C163" s="2" t="s">
        <v>114</v>
      </c>
      <c r="D163" s="1" t="s">
        <v>639</v>
      </c>
      <c r="E163" s="1" t="s">
        <v>566</v>
      </c>
      <c r="I163" s="1" t="s">
        <v>485</v>
      </c>
      <c r="J163" s="1" t="s">
        <v>526</v>
      </c>
      <c r="K163" s="1" t="s">
        <v>562</v>
      </c>
    </row>
    <row r="164" spans="1:13" x14ac:dyDescent="0.4">
      <c r="A164" s="1" t="s">
        <v>645</v>
      </c>
      <c r="B164" s="1" t="s">
        <v>27</v>
      </c>
      <c r="C164" s="2" t="s">
        <v>114</v>
      </c>
      <c r="D164" s="2" t="s">
        <v>642</v>
      </c>
      <c r="E164" s="1" t="s">
        <v>566</v>
      </c>
      <c r="I164" s="1" t="s">
        <v>477</v>
      </c>
      <c r="J164" s="1" t="s">
        <v>526</v>
      </c>
      <c r="K164" s="1" t="s">
        <v>560</v>
      </c>
    </row>
    <row r="165" spans="1:13" x14ac:dyDescent="0.4">
      <c r="A165" s="1" t="s">
        <v>646</v>
      </c>
      <c r="B165" s="1" t="s">
        <v>27</v>
      </c>
      <c r="C165" s="1" t="s">
        <v>473</v>
      </c>
      <c r="D165" s="1" t="s">
        <v>643</v>
      </c>
      <c r="E165" s="1" t="s">
        <v>566</v>
      </c>
      <c r="I165" s="1" t="s">
        <v>487</v>
      </c>
      <c r="J165" s="1" t="s">
        <v>479</v>
      </c>
      <c r="K165" s="1" t="s">
        <v>562</v>
      </c>
      <c r="M165" s="2" t="s">
        <v>121</v>
      </c>
    </row>
    <row r="166" spans="1:13" x14ac:dyDescent="0.4">
      <c r="A166" s="1" t="s">
        <v>647</v>
      </c>
      <c r="B166" s="1" t="s">
        <v>27</v>
      </c>
      <c r="C166" s="2" t="s">
        <v>114</v>
      </c>
      <c r="D166" s="1" t="s">
        <v>644</v>
      </c>
      <c r="E166" s="1" t="s">
        <v>566</v>
      </c>
      <c r="I166" s="1" t="s">
        <v>487</v>
      </c>
      <c r="J166" s="1" t="s">
        <v>479</v>
      </c>
      <c r="K166" s="1" t="s">
        <v>562</v>
      </c>
    </row>
    <row r="167" spans="1:13" x14ac:dyDescent="0.4">
      <c r="A167" s="1" t="s">
        <v>649</v>
      </c>
      <c r="B167" s="1" t="s">
        <v>27</v>
      </c>
      <c r="C167" s="1" t="s">
        <v>473</v>
      </c>
      <c r="D167" s="1" t="s">
        <v>648</v>
      </c>
      <c r="E167" s="1" t="s">
        <v>566</v>
      </c>
      <c r="I167" s="1" t="s">
        <v>487</v>
      </c>
      <c r="J167" s="1" t="s">
        <v>479</v>
      </c>
      <c r="K167" s="1" t="s">
        <v>562</v>
      </c>
    </row>
    <row r="168" spans="1:13" x14ac:dyDescent="0.4">
      <c r="A168" s="1" t="s">
        <v>652</v>
      </c>
      <c r="B168" s="1" t="s">
        <v>27</v>
      </c>
      <c r="C168" s="2" t="s">
        <v>114</v>
      </c>
      <c r="D168" s="1" t="s">
        <v>650</v>
      </c>
      <c r="E168" s="1" t="s">
        <v>566</v>
      </c>
      <c r="I168" s="1" t="s">
        <v>608</v>
      </c>
      <c r="J168" s="1" t="s">
        <v>552</v>
      </c>
      <c r="K168" s="1" t="s">
        <v>560</v>
      </c>
    </row>
    <row r="169" spans="1:13" x14ac:dyDescent="0.4">
      <c r="A169" s="1" t="s">
        <v>653</v>
      </c>
      <c r="B169" s="1" t="s">
        <v>27</v>
      </c>
      <c r="C169" s="2" t="s">
        <v>114</v>
      </c>
      <c r="D169" s="1" t="s">
        <v>651</v>
      </c>
      <c r="E169" s="1" t="s">
        <v>566</v>
      </c>
      <c r="I169" s="1" t="s">
        <v>477</v>
      </c>
      <c r="J169" s="1" t="s">
        <v>475</v>
      </c>
      <c r="K169" s="1" t="s">
        <v>560</v>
      </c>
    </row>
    <row r="170" spans="1:13" x14ac:dyDescent="0.4">
      <c r="A170" s="1" t="s">
        <v>655</v>
      </c>
      <c r="B170" s="1" t="s">
        <v>27</v>
      </c>
      <c r="C170" s="2" t="s">
        <v>114</v>
      </c>
      <c r="D170" s="1" t="s">
        <v>654</v>
      </c>
      <c r="E170" s="1" t="s">
        <v>566</v>
      </c>
      <c r="I170" s="1" t="s">
        <v>477</v>
      </c>
      <c r="J170" s="1" t="s">
        <v>552</v>
      </c>
      <c r="K170" s="1" t="s">
        <v>560</v>
      </c>
    </row>
    <row r="171" spans="1:13" x14ac:dyDescent="0.4">
      <c r="A171" s="1" t="s">
        <v>657</v>
      </c>
      <c r="B171" s="1" t="s">
        <v>27</v>
      </c>
      <c r="C171" s="2" t="s">
        <v>114</v>
      </c>
      <c r="D171" s="1" t="s">
        <v>656</v>
      </c>
      <c r="E171" s="1" t="s">
        <v>566</v>
      </c>
      <c r="I171" s="1" t="s">
        <v>517</v>
      </c>
      <c r="J171" s="1" t="s">
        <v>475</v>
      </c>
      <c r="K171" s="1" t="s">
        <v>560</v>
      </c>
    </row>
    <row r="172" spans="1:13" x14ac:dyDescent="0.4">
      <c r="A172" s="1" t="s">
        <v>660</v>
      </c>
      <c r="B172" s="1" t="s">
        <v>27</v>
      </c>
      <c r="C172" s="1" t="s">
        <v>473</v>
      </c>
      <c r="D172" s="1" t="s">
        <v>658</v>
      </c>
      <c r="E172" s="1" t="s">
        <v>566</v>
      </c>
      <c r="I172" s="1" t="s">
        <v>500</v>
      </c>
      <c r="J172" s="1" t="s">
        <v>478</v>
      </c>
      <c r="K172" s="1" t="s">
        <v>562</v>
      </c>
    </row>
    <row r="173" spans="1:13" x14ac:dyDescent="0.4">
      <c r="A173" s="1" t="s">
        <v>661</v>
      </c>
      <c r="B173" s="1" t="s">
        <v>27</v>
      </c>
      <c r="C173" s="1" t="s">
        <v>473</v>
      </c>
      <c r="D173" s="2" t="s">
        <v>659</v>
      </c>
      <c r="E173" s="1" t="s">
        <v>566</v>
      </c>
      <c r="I173" s="1" t="s">
        <v>487</v>
      </c>
      <c r="J173" s="1" t="s">
        <v>475</v>
      </c>
      <c r="K173" s="1" t="s">
        <v>560</v>
      </c>
    </row>
    <row r="174" spans="1:13" x14ac:dyDescent="0.4">
      <c r="A174" s="1" t="s">
        <v>663</v>
      </c>
      <c r="B174" s="1" t="s">
        <v>27</v>
      </c>
      <c r="C174" s="1" t="s">
        <v>473</v>
      </c>
      <c r="D174" s="2" t="s">
        <v>662</v>
      </c>
      <c r="E174" s="1" t="s">
        <v>566</v>
      </c>
      <c r="I174" s="1" t="s">
        <v>487</v>
      </c>
      <c r="J174" s="1" t="s">
        <v>552</v>
      </c>
      <c r="K174" s="1" t="s">
        <v>560</v>
      </c>
    </row>
    <row r="175" spans="1:13" x14ac:dyDescent="0.4">
      <c r="A175" s="1" t="s">
        <v>666</v>
      </c>
      <c r="B175" s="1" t="s">
        <v>5</v>
      </c>
      <c r="C175" s="1" t="s">
        <v>473</v>
      </c>
      <c r="D175" s="2" t="s">
        <v>665</v>
      </c>
      <c r="E175" s="1" t="s">
        <v>513</v>
      </c>
      <c r="I175" s="1" t="s">
        <v>581</v>
      </c>
      <c r="J175" s="1" t="s">
        <v>513</v>
      </c>
      <c r="K175" s="1" t="s">
        <v>562</v>
      </c>
    </row>
    <row r="176" spans="1:13" x14ac:dyDescent="0.4">
      <c r="A176" s="1" t="s">
        <v>668</v>
      </c>
      <c r="B176" s="1" t="s">
        <v>27</v>
      </c>
      <c r="C176" s="1" t="s">
        <v>473</v>
      </c>
      <c r="D176" s="1" t="s">
        <v>667</v>
      </c>
      <c r="E176" s="1" t="s">
        <v>566</v>
      </c>
      <c r="I176" s="1" t="s">
        <v>500</v>
      </c>
      <c r="J176" s="1" t="s">
        <v>552</v>
      </c>
      <c r="K176" s="1" t="s">
        <v>560</v>
      </c>
    </row>
    <row r="177" spans="1:16" x14ac:dyDescent="0.4">
      <c r="A177" s="1" t="s">
        <v>675</v>
      </c>
      <c r="B177" s="2" t="s">
        <v>491</v>
      </c>
      <c r="C177" s="2" t="s">
        <v>114</v>
      </c>
      <c r="D177" s="1" t="s">
        <v>669</v>
      </c>
      <c r="E177" s="1" t="s">
        <v>566</v>
      </c>
      <c r="I177" s="1" t="s">
        <v>485</v>
      </c>
      <c r="J177" s="1" t="s">
        <v>479</v>
      </c>
      <c r="K177" s="1" t="s">
        <v>562</v>
      </c>
      <c r="L177" s="1">
        <v>2</v>
      </c>
    </row>
    <row r="178" spans="1:16" x14ac:dyDescent="0.4">
      <c r="A178" s="1" t="s">
        <v>676</v>
      </c>
      <c r="B178" s="2" t="s">
        <v>491</v>
      </c>
      <c r="C178" s="1" t="s">
        <v>473</v>
      </c>
      <c r="D178" s="1" t="s">
        <v>671</v>
      </c>
      <c r="E178" s="1" t="s">
        <v>566</v>
      </c>
      <c r="I178" s="1" t="s">
        <v>500</v>
      </c>
      <c r="J178" s="1" t="s">
        <v>475</v>
      </c>
      <c r="K178" s="1" t="s">
        <v>560</v>
      </c>
      <c r="L178" s="1">
        <v>2</v>
      </c>
      <c r="M178" s="2" t="s">
        <v>120</v>
      </c>
    </row>
    <row r="179" spans="1:16" x14ac:dyDescent="0.4">
      <c r="A179" s="1" t="s">
        <v>677</v>
      </c>
      <c r="B179" s="2" t="s">
        <v>5</v>
      </c>
      <c r="C179" s="1" t="s">
        <v>473</v>
      </c>
      <c r="D179" s="2" t="s">
        <v>672</v>
      </c>
      <c r="E179" s="1" t="s">
        <v>566</v>
      </c>
      <c r="I179" s="1" t="s">
        <v>500</v>
      </c>
      <c r="J179" s="1" t="s">
        <v>478</v>
      </c>
      <c r="K179" s="1" t="s">
        <v>562</v>
      </c>
    </row>
    <row r="180" spans="1:16" x14ac:dyDescent="0.4">
      <c r="A180" s="1" t="s">
        <v>678</v>
      </c>
      <c r="B180" s="1" t="s">
        <v>27</v>
      </c>
      <c r="C180" s="1" t="s">
        <v>473</v>
      </c>
      <c r="D180" s="2" t="s">
        <v>674</v>
      </c>
      <c r="E180" s="1" t="s">
        <v>566</v>
      </c>
      <c r="I180" s="1" t="s">
        <v>487</v>
      </c>
      <c r="J180" s="1" t="s">
        <v>475</v>
      </c>
      <c r="K180" s="1" t="s">
        <v>562</v>
      </c>
    </row>
    <row r="181" spans="1:16" x14ac:dyDescent="0.4">
      <c r="A181" s="1" t="s">
        <v>680</v>
      </c>
      <c r="B181" s="2" t="s">
        <v>491</v>
      </c>
      <c r="C181" s="1" t="s">
        <v>473</v>
      </c>
      <c r="D181" s="1" t="s">
        <v>679</v>
      </c>
      <c r="E181" s="1" t="s">
        <v>566</v>
      </c>
      <c r="I181" s="1" t="s">
        <v>487</v>
      </c>
      <c r="J181" s="1" t="s">
        <v>475</v>
      </c>
      <c r="K181" s="1" t="s">
        <v>562</v>
      </c>
    </row>
    <row r="182" spans="1:16" x14ac:dyDescent="0.4">
      <c r="A182" s="1" t="s">
        <v>682</v>
      </c>
      <c r="B182" s="2" t="s">
        <v>491</v>
      </c>
      <c r="C182" s="1" t="s">
        <v>473</v>
      </c>
      <c r="D182" s="1" t="s">
        <v>681</v>
      </c>
      <c r="E182" s="1" t="s">
        <v>566</v>
      </c>
      <c r="I182" s="1" t="s">
        <v>500</v>
      </c>
      <c r="J182" s="1" t="s">
        <v>475</v>
      </c>
      <c r="K182" s="1" t="s">
        <v>562</v>
      </c>
    </row>
    <row r="183" spans="1:16" x14ac:dyDescent="0.4">
      <c r="A183" s="1" t="s">
        <v>684</v>
      </c>
      <c r="B183" s="2" t="s">
        <v>491</v>
      </c>
      <c r="C183" s="1" t="s">
        <v>473</v>
      </c>
      <c r="D183" s="1" t="s">
        <v>683</v>
      </c>
      <c r="E183" s="1" t="s">
        <v>566</v>
      </c>
      <c r="I183" s="1" t="s">
        <v>487</v>
      </c>
      <c r="J183" s="1" t="s">
        <v>475</v>
      </c>
      <c r="K183" s="1" t="s">
        <v>560</v>
      </c>
    </row>
    <row r="184" spans="1:16" x14ac:dyDescent="0.4">
      <c r="A184" s="1" t="s">
        <v>686</v>
      </c>
      <c r="B184" s="2" t="s">
        <v>491</v>
      </c>
      <c r="C184" s="1" t="s">
        <v>473</v>
      </c>
      <c r="D184" s="1" t="s">
        <v>685</v>
      </c>
      <c r="E184" s="1" t="s">
        <v>566</v>
      </c>
      <c r="I184" s="1" t="s">
        <v>500</v>
      </c>
      <c r="J184" s="1" t="s">
        <v>475</v>
      </c>
      <c r="K184" s="1" t="s">
        <v>560</v>
      </c>
      <c r="P184" s="1" t="s">
        <v>687</v>
      </c>
    </row>
    <row r="185" spans="1:16" x14ac:dyDescent="0.4">
      <c r="A185" s="1" t="s">
        <v>688</v>
      </c>
      <c r="B185" s="2" t="s">
        <v>5</v>
      </c>
      <c r="C185" s="1" t="s">
        <v>473</v>
      </c>
      <c r="D185" s="2" t="s">
        <v>691</v>
      </c>
      <c r="E185" s="1" t="s">
        <v>574</v>
      </c>
      <c r="I185" s="1" t="s">
        <v>500</v>
      </c>
      <c r="J185" s="1" t="s">
        <v>552</v>
      </c>
      <c r="K185" s="1" t="s">
        <v>564</v>
      </c>
    </row>
    <row r="186" spans="1:16" x14ac:dyDescent="0.4">
      <c r="A186" s="1" t="s">
        <v>689</v>
      </c>
      <c r="B186" s="2" t="s">
        <v>5</v>
      </c>
      <c r="C186" s="1" t="s">
        <v>473</v>
      </c>
      <c r="D186" s="2" t="s">
        <v>690</v>
      </c>
      <c r="E186" s="1" t="s">
        <v>574</v>
      </c>
      <c r="I186" s="1" t="s">
        <v>500</v>
      </c>
      <c r="J186" s="1" t="s">
        <v>552</v>
      </c>
      <c r="K186" s="1" t="s">
        <v>564</v>
      </c>
    </row>
    <row r="187" spans="1:16" x14ac:dyDescent="0.4">
      <c r="A187" s="1" t="s">
        <v>693</v>
      </c>
      <c r="B187" s="2" t="s">
        <v>5</v>
      </c>
      <c r="C187" s="1" t="s">
        <v>473</v>
      </c>
      <c r="D187" s="1" t="s">
        <v>692</v>
      </c>
      <c r="E187" s="1" t="s">
        <v>513</v>
      </c>
      <c r="I187" s="1" t="s">
        <v>500</v>
      </c>
      <c r="J187" s="1" t="s">
        <v>513</v>
      </c>
      <c r="K187" s="1" t="s">
        <v>562</v>
      </c>
    </row>
    <row r="188" spans="1:16" x14ac:dyDescent="0.4">
      <c r="A188" s="1" t="s">
        <v>695</v>
      </c>
      <c r="B188" s="2" t="s">
        <v>5</v>
      </c>
      <c r="C188" s="1" t="s">
        <v>473</v>
      </c>
      <c r="D188" s="1" t="s">
        <v>694</v>
      </c>
      <c r="E188" s="1" t="s">
        <v>577</v>
      </c>
      <c r="I188" s="1" t="s">
        <v>500</v>
      </c>
      <c r="J188" s="1" t="s">
        <v>478</v>
      </c>
      <c r="K188" s="1" t="s">
        <v>560</v>
      </c>
      <c r="P188" s="1" t="s">
        <v>696</v>
      </c>
    </row>
    <row r="189" spans="1:16" x14ac:dyDescent="0.4">
      <c r="A189" s="1" t="s">
        <v>698</v>
      </c>
      <c r="B189" s="2" t="s">
        <v>5</v>
      </c>
      <c r="C189" s="1" t="s">
        <v>473</v>
      </c>
      <c r="D189" s="1" t="s">
        <v>697</v>
      </c>
      <c r="E189" s="1" t="s">
        <v>577</v>
      </c>
      <c r="I189" s="1" t="s">
        <v>500</v>
      </c>
      <c r="J189" s="1" t="s">
        <v>478</v>
      </c>
      <c r="K189" s="1" t="s">
        <v>560</v>
      </c>
      <c r="P189" s="1" t="s">
        <v>696</v>
      </c>
    </row>
    <row r="190" spans="1:16" x14ac:dyDescent="0.4">
      <c r="A190" s="9" t="s">
        <v>700</v>
      </c>
      <c r="B190" s="2" t="s">
        <v>491</v>
      </c>
      <c r="C190" s="2" t="s">
        <v>474</v>
      </c>
      <c r="D190" s="1" t="s">
        <v>699</v>
      </c>
      <c r="E190" s="1" t="s">
        <v>566</v>
      </c>
      <c r="I190" s="1" t="s">
        <v>500</v>
      </c>
      <c r="J190" s="1" t="s">
        <v>479</v>
      </c>
      <c r="K190" s="1" t="s">
        <v>562</v>
      </c>
      <c r="N190" s="2" t="s">
        <v>709</v>
      </c>
    </row>
    <row r="191" spans="1:16" x14ac:dyDescent="0.4">
      <c r="A191" s="1" t="s">
        <v>701</v>
      </c>
      <c r="B191" s="2" t="s">
        <v>491</v>
      </c>
      <c r="C191" s="1" t="s">
        <v>473</v>
      </c>
      <c r="D191" s="2" t="s">
        <v>715</v>
      </c>
      <c r="E191" s="1" t="s">
        <v>566</v>
      </c>
      <c r="F191" s="1" t="s">
        <v>6</v>
      </c>
      <c r="G191" s="1" t="s">
        <v>6</v>
      </c>
      <c r="H191" s="1" t="s">
        <v>7</v>
      </c>
      <c r="I191" s="1" t="s">
        <v>487</v>
      </c>
      <c r="J191" s="1" t="s">
        <v>479</v>
      </c>
      <c r="K191" s="1" t="s">
        <v>564</v>
      </c>
      <c r="N191" s="2" t="s">
        <v>709</v>
      </c>
    </row>
    <row r="192" spans="1:16" x14ac:dyDescent="0.4">
      <c r="A192" s="9" t="s">
        <v>734</v>
      </c>
      <c r="B192" s="1" t="s">
        <v>491</v>
      </c>
      <c r="C192" s="1" t="s">
        <v>710</v>
      </c>
      <c r="D192" s="2" t="s">
        <v>716</v>
      </c>
      <c r="E192" s="1" t="s">
        <v>566</v>
      </c>
      <c r="F192" s="1" t="s">
        <v>7</v>
      </c>
      <c r="G192" s="1" t="s">
        <v>6</v>
      </c>
      <c r="H192" s="1" t="s">
        <v>7</v>
      </c>
      <c r="I192" s="1" t="s">
        <v>477</v>
      </c>
      <c r="J192" s="1" t="s">
        <v>475</v>
      </c>
      <c r="K192" s="1" t="s">
        <v>564</v>
      </c>
      <c r="N192" s="2" t="s">
        <v>709</v>
      </c>
    </row>
    <row r="193" spans="1:14" x14ac:dyDescent="0.4">
      <c r="A193" s="1" t="s">
        <v>735</v>
      </c>
      <c r="B193" s="1" t="s">
        <v>491</v>
      </c>
      <c r="C193" s="1" t="s">
        <v>710</v>
      </c>
      <c r="D193" s="1" t="s">
        <v>717</v>
      </c>
      <c r="E193" s="1" t="s">
        <v>566</v>
      </c>
      <c r="F193" s="1" t="s">
        <v>6</v>
      </c>
      <c r="G193" s="1" t="s">
        <v>6</v>
      </c>
      <c r="H193" s="1" t="s">
        <v>7</v>
      </c>
      <c r="I193" s="1" t="s">
        <v>477</v>
      </c>
      <c r="J193" s="1" t="s">
        <v>475</v>
      </c>
      <c r="K193" s="1" t="s">
        <v>562</v>
      </c>
      <c r="N193" s="2" t="s">
        <v>709</v>
      </c>
    </row>
    <row r="194" spans="1:14" x14ac:dyDescent="0.4">
      <c r="A194" s="1" t="s">
        <v>736</v>
      </c>
      <c r="B194" s="1" t="s">
        <v>491</v>
      </c>
      <c r="C194" s="1" t="s">
        <v>710</v>
      </c>
      <c r="D194" s="1" t="s">
        <v>718</v>
      </c>
      <c r="E194" s="1" t="s">
        <v>566</v>
      </c>
      <c r="F194" s="1" t="s">
        <v>6</v>
      </c>
      <c r="G194" s="1" t="s">
        <v>6</v>
      </c>
      <c r="H194" s="1" t="s">
        <v>7</v>
      </c>
      <c r="I194" s="1" t="s">
        <v>477</v>
      </c>
      <c r="J194" s="1" t="s">
        <v>475</v>
      </c>
      <c r="K194" s="1" t="s">
        <v>562</v>
      </c>
      <c r="M194" s="2" t="s">
        <v>121</v>
      </c>
      <c r="N194" s="2" t="s">
        <v>709</v>
      </c>
    </row>
    <row r="195" spans="1:14" x14ac:dyDescent="0.4">
      <c r="A195" s="9" t="s">
        <v>737</v>
      </c>
      <c r="B195" s="1" t="s">
        <v>673</v>
      </c>
      <c r="C195" s="1" t="s">
        <v>710</v>
      </c>
      <c r="D195" s="1" t="s">
        <v>719</v>
      </c>
      <c r="E195" s="1" t="s">
        <v>566</v>
      </c>
      <c r="F195" s="1" t="s">
        <v>6</v>
      </c>
      <c r="G195" s="1" t="s">
        <v>6</v>
      </c>
      <c r="H195" s="1" t="s">
        <v>7</v>
      </c>
      <c r="I195" s="1" t="s">
        <v>477</v>
      </c>
      <c r="J195" s="1" t="s">
        <v>475</v>
      </c>
      <c r="K195" s="1" t="s">
        <v>562</v>
      </c>
      <c r="L195" s="1">
        <v>2</v>
      </c>
      <c r="N195" s="2" t="s">
        <v>709</v>
      </c>
    </row>
    <row r="196" spans="1:14" x14ac:dyDescent="0.4">
      <c r="A196" s="1" t="s">
        <v>738</v>
      </c>
      <c r="B196" s="1" t="s">
        <v>673</v>
      </c>
      <c r="C196" s="1" t="s">
        <v>710</v>
      </c>
      <c r="D196" s="1" t="s">
        <v>720</v>
      </c>
      <c r="E196" s="1" t="s">
        <v>566</v>
      </c>
      <c r="F196" s="1" t="s">
        <v>6</v>
      </c>
      <c r="G196" s="1" t="s">
        <v>6</v>
      </c>
      <c r="H196" s="1" t="s">
        <v>7</v>
      </c>
      <c r="I196" s="1" t="s">
        <v>477</v>
      </c>
      <c r="J196" s="1" t="s">
        <v>475</v>
      </c>
      <c r="K196" s="1" t="s">
        <v>562</v>
      </c>
      <c r="N196" s="2" t="s">
        <v>709</v>
      </c>
    </row>
    <row r="197" spans="1:14" x14ac:dyDescent="0.4">
      <c r="A197" s="1" t="s">
        <v>739</v>
      </c>
      <c r="B197" s="1" t="s">
        <v>673</v>
      </c>
      <c r="C197" s="1" t="s">
        <v>710</v>
      </c>
      <c r="D197" s="1" t="s">
        <v>721</v>
      </c>
      <c r="E197" s="1" t="s">
        <v>566</v>
      </c>
      <c r="F197" s="1" t="s">
        <v>6</v>
      </c>
      <c r="G197" s="1" t="s">
        <v>6</v>
      </c>
      <c r="H197" s="1" t="s">
        <v>7</v>
      </c>
      <c r="I197" s="1" t="s">
        <v>477</v>
      </c>
      <c r="J197" s="1" t="s">
        <v>475</v>
      </c>
      <c r="K197" s="1" t="s">
        <v>562</v>
      </c>
      <c r="N197" s="2" t="s">
        <v>709</v>
      </c>
    </row>
    <row r="198" spans="1:14" x14ac:dyDescent="0.4">
      <c r="A198" s="1" t="s">
        <v>740</v>
      </c>
      <c r="B198" s="1" t="s">
        <v>491</v>
      </c>
      <c r="C198" s="1" t="s">
        <v>710</v>
      </c>
      <c r="D198" s="6" t="s">
        <v>722</v>
      </c>
      <c r="E198" s="1" t="s">
        <v>566</v>
      </c>
      <c r="F198" s="1" t="s">
        <v>7</v>
      </c>
      <c r="G198" s="1" t="s">
        <v>6</v>
      </c>
      <c r="H198" s="1" t="s">
        <v>7</v>
      </c>
      <c r="I198" s="1" t="s">
        <v>477</v>
      </c>
      <c r="J198" s="1" t="s">
        <v>475</v>
      </c>
      <c r="K198" s="1" t="s">
        <v>562</v>
      </c>
      <c r="N198" s="2" t="s">
        <v>709</v>
      </c>
    </row>
    <row r="199" spans="1:14" x14ac:dyDescent="0.4">
      <c r="A199" s="1" t="s">
        <v>741</v>
      </c>
      <c r="B199" s="1" t="s">
        <v>673</v>
      </c>
      <c r="C199" s="1" t="s">
        <v>710</v>
      </c>
      <c r="D199" s="1" t="s">
        <v>723</v>
      </c>
      <c r="E199" s="1" t="s">
        <v>566</v>
      </c>
      <c r="F199" s="1" t="s">
        <v>6</v>
      </c>
      <c r="G199" s="1" t="s">
        <v>6</v>
      </c>
      <c r="H199" s="1" t="s">
        <v>7</v>
      </c>
      <c r="I199" s="1" t="s">
        <v>477</v>
      </c>
      <c r="J199" s="1" t="s">
        <v>475</v>
      </c>
      <c r="K199" s="1" t="s">
        <v>562</v>
      </c>
      <c r="N199" s="2" t="s">
        <v>709</v>
      </c>
    </row>
    <row r="200" spans="1:14" x14ac:dyDescent="0.4">
      <c r="A200" s="1" t="s">
        <v>742</v>
      </c>
      <c r="B200" s="1" t="s">
        <v>491</v>
      </c>
      <c r="C200" s="1" t="s">
        <v>710</v>
      </c>
      <c r="D200" s="1" t="s">
        <v>724</v>
      </c>
      <c r="E200" s="1" t="s">
        <v>566</v>
      </c>
      <c r="F200" s="1" t="s">
        <v>6</v>
      </c>
      <c r="G200" s="1" t="s">
        <v>6</v>
      </c>
      <c r="H200" s="1" t="s">
        <v>7</v>
      </c>
      <c r="I200" s="1" t="s">
        <v>477</v>
      </c>
      <c r="J200" s="1" t="s">
        <v>475</v>
      </c>
      <c r="K200" s="1" t="s">
        <v>562</v>
      </c>
      <c r="L200" s="1">
        <v>3</v>
      </c>
      <c r="N200" s="2" t="s">
        <v>709</v>
      </c>
    </row>
    <row r="201" spans="1:14" x14ac:dyDescent="0.4">
      <c r="A201" s="1" t="s">
        <v>743</v>
      </c>
      <c r="B201" s="1" t="s">
        <v>673</v>
      </c>
      <c r="C201" s="1" t="s">
        <v>710</v>
      </c>
      <c r="D201" s="1" t="s">
        <v>725</v>
      </c>
      <c r="E201" s="1" t="s">
        <v>566</v>
      </c>
      <c r="F201" s="1" t="s">
        <v>6</v>
      </c>
      <c r="G201" s="1" t="s">
        <v>6</v>
      </c>
      <c r="H201" s="1" t="s">
        <v>7</v>
      </c>
      <c r="I201" s="1" t="s">
        <v>477</v>
      </c>
      <c r="J201" s="1" t="s">
        <v>475</v>
      </c>
      <c r="K201" s="1" t="s">
        <v>562</v>
      </c>
      <c r="N201" s="2" t="s">
        <v>709</v>
      </c>
    </row>
    <row r="202" spans="1:14" x14ac:dyDescent="0.4">
      <c r="A202" s="1" t="s">
        <v>744</v>
      </c>
      <c r="B202" s="1" t="s">
        <v>491</v>
      </c>
      <c r="C202" s="1" t="s">
        <v>710</v>
      </c>
      <c r="D202" s="1" t="s">
        <v>726</v>
      </c>
      <c r="E202" s="1" t="s">
        <v>566</v>
      </c>
      <c r="F202" s="1" t="s">
        <v>7</v>
      </c>
      <c r="G202" s="1" t="s">
        <v>6</v>
      </c>
      <c r="H202" s="1" t="s">
        <v>7</v>
      </c>
      <c r="I202" s="1" t="s">
        <v>477</v>
      </c>
      <c r="J202" s="1" t="s">
        <v>475</v>
      </c>
      <c r="K202" s="1" t="s">
        <v>562</v>
      </c>
      <c r="N202" s="2" t="s">
        <v>709</v>
      </c>
    </row>
    <row r="203" spans="1:14" x14ac:dyDescent="0.4">
      <c r="A203" s="1" t="s">
        <v>745</v>
      </c>
      <c r="B203" s="1" t="s">
        <v>491</v>
      </c>
      <c r="C203" s="1" t="s">
        <v>710</v>
      </c>
      <c r="D203" s="1" t="s">
        <v>727</v>
      </c>
      <c r="E203" s="1" t="s">
        <v>566</v>
      </c>
      <c r="F203" s="1" t="s">
        <v>6</v>
      </c>
      <c r="G203" s="1" t="s">
        <v>6</v>
      </c>
      <c r="H203" s="1" t="s">
        <v>7</v>
      </c>
      <c r="I203" s="1" t="s">
        <v>477</v>
      </c>
      <c r="J203" s="1" t="s">
        <v>475</v>
      </c>
      <c r="K203" s="1" t="s">
        <v>562</v>
      </c>
      <c r="N203" s="2" t="s">
        <v>709</v>
      </c>
    </row>
    <row r="204" spans="1:14" x14ac:dyDescent="0.4">
      <c r="A204" s="1" t="s">
        <v>746</v>
      </c>
      <c r="B204" s="1" t="s">
        <v>491</v>
      </c>
      <c r="C204" s="1" t="s">
        <v>710</v>
      </c>
      <c r="D204" s="1" t="s">
        <v>728</v>
      </c>
      <c r="E204" s="1" t="s">
        <v>566</v>
      </c>
      <c r="F204" s="1" t="s">
        <v>7</v>
      </c>
      <c r="G204" s="1" t="s">
        <v>6</v>
      </c>
      <c r="H204" s="1" t="s">
        <v>7</v>
      </c>
      <c r="I204" s="1" t="s">
        <v>477</v>
      </c>
      <c r="J204" s="1" t="s">
        <v>475</v>
      </c>
      <c r="K204" s="1" t="s">
        <v>562</v>
      </c>
      <c r="N204" s="2" t="s">
        <v>709</v>
      </c>
    </row>
    <row r="205" spans="1:14" x14ac:dyDescent="0.4">
      <c r="A205" s="1" t="s">
        <v>747</v>
      </c>
      <c r="B205" s="1" t="s">
        <v>664</v>
      </c>
      <c r="C205" s="1" t="s">
        <v>710</v>
      </c>
      <c r="D205" s="1" t="s">
        <v>729</v>
      </c>
      <c r="E205" s="1" t="s">
        <v>566</v>
      </c>
      <c r="F205" s="1" t="s">
        <v>7</v>
      </c>
      <c r="G205" s="1" t="s">
        <v>6</v>
      </c>
      <c r="H205" s="1" t="s">
        <v>7</v>
      </c>
      <c r="I205" s="1" t="s">
        <v>477</v>
      </c>
      <c r="J205" s="1" t="s">
        <v>475</v>
      </c>
      <c r="K205" s="1" t="s">
        <v>562</v>
      </c>
      <c r="N205" s="2" t="s">
        <v>709</v>
      </c>
    </row>
    <row r="206" spans="1:14" x14ac:dyDescent="0.4">
      <c r="A206" s="1" t="s">
        <v>748</v>
      </c>
      <c r="B206" s="1" t="s">
        <v>491</v>
      </c>
      <c r="C206" s="1" t="s">
        <v>710</v>
      </c>
      <c r="D206" s="1" t="s">
        <v>730</v>
      </c>
      <c r="E206" s="1" t="s">
        <v>566</v>
      </c>
      <c r="F206" s="1" t="s">
        <v>7</v>
      </c>
      <c r="G206" s="1" t="s">
        <v>6</v>
      </c>
      <c r="H206" s="1" t="s">
        <v>7</v>
      </c>
      <c r="I206" s="1" t="s">
        <v>477</v>
      </c>
      <c r="J206" s="1" t="s">
        <v>475</v>
      </c>
      <c r="K206" s="1" t="s">
        <v>562</v>
      </c>
      <c r="N206" s="2" t="s">
        <v>709</v>
      </c>
    </row>
    <row r="207" spans="1:14" x14ac:dyDescent="0.4">
      <c r="A207" s="1" t="s">
        <v>758</v>
      </c>
      <c r="B207" s="1" t="s">
        <v>673</v>
      </c>
      <c r="C207" s="1" t="s">
        <v>710</v>
      </c>
      <c r="D207" s="1" t="s">
        <v>749</v>
      </c>
      <c r="E207" s="1" t="s">
        <v>566</v>
      </c>
      <c r="F207" s="1" t="s">
        <v>6</v>
      </c>
      <c r="G207" s="1" t="s">
        <v>6</v>
      </c>
      <c r="H207" s="1" t="s">
        <v>7</v>
      </c>
      <c r="I207" s="1" t="s">
        <v>517</v>
      </c>
      <c r="J207" s="1" t="s">
        <v>475</v>
      </c>
      <c r="K207" s="1" t="s">
        <v>562</v>
      </c>
      <c r="N207" s="2" t="s">
        <v>709</v>
      </c>
    </row>
    <row r="208" spans="1:14" x14ac:dyDescent="0.4">
      <c r="A208" s="1" t="s">
        <v>759</v>
      </c>
      <c r="B208" s="1" t="s">
        <v>670</v>
      </c>
      <c r="C208" s="1" t="s">
        <v>710</v>
      </c>
      <c r="D208" s="1" t="s">
        <v>750</v>
      </c>
      <c r="E208" s="1" t="s">
        <v>566</v>
      </c>
      <c r="F208" s="1" t="s">
        <v>6</v>
      </c>
      <c r="G208" s="1" t="s">
        <v>6</v>
      </c>
      <c r="H208" s="1" t="s">
        <v>7</v>
      </c>
      <c r="I208" s="1" t="s">
        <v>517</v>
      </c>
      <c r="J208" s="1" t="s">
        <v>475</v>
      </c>
      <c r="K208" s="1" t="s">
        <v>562</v>
      </c>
      <c r="N208" s="2" t="s">
        <v>709</v>
      </c>
    </row>
    <row r="209" spans="1:14" x14ac:dyDescent="0.4">
      <c r="A209" s="1" t="s">
        <v>760</v>
      </c>
      <c r="B209" s="1" t="s">
        <v>673</v>
      </c>
      <c r="C209" s="1" t="s">
        <v>710</v>
      </c>
      <c r="D209" s="1" t="s">
        <v>751</v>
      </c>
      <c r="E209" s="1" t="s">
        <v>566</v>
      </c>
      <c r="F209" s="1" t="s">
        <v>6</v>
      </c>
      <c r="G209" s="1" t="s">
        <v>6</v>
      </c>
      <c r="H209" s="1" t="s">
        <v>7</v>
      </c>
      <c r="I209" s="1" t="s">
        <v>517</v>
      </c>
      <c r="J209" s="1" t="s">
        <v>475</v>
      </c>
      <c r="K209" s="1" t="s">
        <v>562</v>
      </c>
      <c r="N209" s="2" t="s">
        <v>709</v>
      </c>
    </row>
    <row r="210" spans="1:14" x14ac:dyDescent="0.4">
      <c r="A210" s="1" t="s">
        <v>761</v>
      </c>
      <c r="B210" s="1" t="s">
        <v>670</v>
      </c>
      <c r="C210" s="1" t="s">
        <v>710</v>
      </c>
      <c r="D210" s="6" t="s">
        <v>752</v>
      </c>
      <c r="E210" s="1" t="s">
        <v>566</v>
      </c>
      <c r="F210" s="1" t="s">
        <v>6</v>
      </c>
      <c r="G210" s="1" t="s">
        <v>6</v>
      </c>
      <c r="H210" s="1" t="s">
        <v>7</v>
      </c>
      <c r="I210" s="1" t="s">
        <v>517</v>
      </c>
      <c r="J210" s="1" t="s">
        <v>475</v>
      </c>
      <c r="K210" s="1" t="s">
        <v>562</v>
      </c>
      <c r="N210" s="2" t="s">
        <v>709</v>
      </c>
    </row>
    <row r="211" spans="1:14" x14ac:dyDescent="0.4">
      <c r="A211" s="1" t="s">
        <v>762</v>
      </c>
      <c r="B211" s="1" t="s">
        <v>664</v>
      </c>
      <c r="C211" s="1" t="s">
        <v>710</v>
      </c>
      <c r="D211" s="1" t="s">
        <v>753</v>
      </c>
      <c r="E211" s="1" t="s">
        <v>566</v>
      </c>
      <c r="F211" s="1" t="s">
        <v>6</v>
      </c>
      <c r="G211" s="1" t="s">
        <v>6</v>
      </c>
      <c r="H211" s="1" t="s">
        <v>7</v>
      </c>
      <c r="I211" s="1" t="s">
        <v>517</v>
      </c>
      <c r="J211" s="1" t="s">
        <v>475</v>
      </c>
      <c r="K211" s="1" t="s">
        <v>564</v>
      </c>
      <c r="N211" s="2" t="s">
        <v>709</v>
      </c>
    </row>
    <row r="212" spans="1:14" x14ac:dyDescent="0.4">
      <c r="A212" s="1" t="s">
        <v>763</v>
      </c>
      <c r="B212" s="1" t="s">
        <v>670</v>
      </c>
      <c r="C212" s="1" t="s">
        <v>710</v>
      </c>
      <c r="D212" s="1" t="s">
        <v>754</v>
      </c>
      <c r="E212" s="1" t="s">
        <v>566</v>
      </c>
      <c r="F212" s="1" t="s">
        <v>6</v>
      </c>
      <c r="G212" s="1" t="s">
        <v>6</v>
      </c>
      <c r="H212" s="1" t="s">
        <v>7</v>
      </c>
      <c r="I212" s="1" t="s">
        <v>517</v>
      </c>
      <c r="J212" s="1" t="s">
        <v>475</v>
      </c>
      <c r="K212" s="1" t="s">
        <v>562</v>
      </c>
      <c r="N212" s="2" t="s">
        <v>709</v>
      </c>
    </row>
    <row r="213" spans="1:14" x14ac:dyDescent="0.4">
      <c r="A213" s="1" t="s">
        <v>764</v>
      </c>
      <c r="B213" s="1" t="s">
        <v>670</v>
      </c>
      <c r="C213" s="1" t="s">
        <v>710</v>
      </c>
      <c r="D213" s="1" t="s">
        <v>755</v>
      </c>
      <c r="E213" s="1" t="s">
        <v>566</v>
      </c>
      <c r="F213" s="1" t="s">
        <v>6</v>
      </c>
      <c r="G213" s="1" t="s">
        <v>6</v>
      </c>
      <c r="H213" s="1" t="s">
        <v>7</v>
      </c>
      <c r="I213" s="1" t="s">
        <v>517</v>
      </c>
      <c r="J213" s="1" t="s">
        <v>475</v>
      </c>
      <c r="K213" s="1" t="s">
        <v>564</v>
      </c>
      <c r="N213" s="2" t="s">
        <v>709</v>
      </c>
    </row>
    <row r="214" spans="1:14" x14ac:dyDescent="0.4">
      <c r="A214" s="1" t="s">
        <v>765</v>
      </c>
      <c r="B214" s="1" t="s">
        <v>670</v>
      </c>
      <c r="C214" s="1" t="s">
        <v>710</v>
      </c>
      <c r="D214" s="1" t="s">
        <v>756</v>
      </c>
      <c r="E214" s="1" t="s">
        <v>566</v>
      </c>
      <c r="F214" s="1" t="s">
        <v>6</v>
      </c>
      <c r="G214" s="1" t="s">
        <v>6</v>
      </c>
      <c r="H214" s="1" t="s">
        <v>7</v>
      </c>
      <c r="I214" s="1" t="s">
        <v>517</v>
      </c>
      <c r="J214" s="1" t="s">
        <v>475</v>
      </c>
      <c r="K214" s="1" t="s">
        <v>564</v>
      </c>
      <c r="N214" s="2" t="s">
        <v>709</v>
      </c>
    </row>
    <row r="215" spans="1:14" x14ac:dyDescent="0.4">
      <c r="A215" s="1" t="s">
        <v>766</v>
      </c>
      <c r="B215" s="1" t="s">
        <v>673</v>
      </c>
      <c r="C215" s="1" t="s">
        <v>710</v>
      </c>
      <c r="D215" s="1" t="s">
        <v>757</v>
      </c>
      <c r="E215" s="1" t="s">
        <v>566</v>
      </c>
      <c r="F215" s="1" t="s">
        <v>6</v>
      </c>
      <c r="G215" s="1" t="s">
        <v>6</v>
      </c>
      <c r="H215" s="1" t="s">
        <v>7</v>
      </c>
      <c r="I215" s="1" t="s">
        <v>517</v>
      </c>
      <c r="J215" s="1" t="s">
        <v>475</v>
      </c>
      <c r="K215" s="1" t="s">
        <v>562</v>
      </c>
      <c r="N215" s="2" t="s">
        <v>709</v>
      </c>
    </row>
    <row r="216" spans="1:14" x14ac:dyDescent="0.4">
      <c r="A216" s="1" t="s">
        <v>778</v>
      </c>
      <c r="B216" s="1" t="s">
        <v>670</v>
      </c>
      <c r="C216" s="1" t="s">
        <v>710</v>
      </c>
      <c r="D216" s="1" t="s">
        <v>767</v>
      </c>
      <c r="E216" s="1" t="s">
        <v>577</v>
      </c>
      <c r="F216" s="1" t="s">
        <v>6</v>
      </c>
      <c r="G216" s="1" t="s">
        <v>6</v>
      </c>
      <c r="H216" s="1" t="s">
        <v>7</v>
      </c>
      <c r="I216" s="1" t="s">
        <v>485</v>
      </c>
      <c r="J216" s="1" t="s">
        <v>475</v>
      </c>
      <c r="K216" s="1" t="s">
        <v>564</v>
      </c>
      <c r="N216" s="2" t="s">
        <v>709</v>
      </c>
    </row>
    <row r="217" spans="1:14" x14ac:dyDescent="0.4">
      <c r="A217" s="1" t="s">
        <v>779</v>
      </c>
      <c r="B217" s="1" t="s">
        <v>670</v>
      </c>
      <c r="C217" s="1" t="s">
        <v>710</v>
      </c>
      <c r="D217" s="1" t="s">
        <v>768</v>
      </c>
      <c r="E217" s="1" t="s">
        <v>577</v>
      </c>
      <c r="F217" s="1" t="s">
        <v>6</v>
      </c>
      <c r="G217" s="1" t="s">
        <v>6</v>
      </c>
      <c r="H217" s="1" t="s">
        <v>7</v>
      </c>
      <c r="I217" s="1" t="s">
        <v>485</v>
      </c>
      <c r="J217" s="1" t="s">
        <v>475</v>
      </c>
      <c r="K217" s="1" t="s">
        <v>564</v>
      </c>
      <c r="N217" s="2" t="s">
        <v>709</v>
      </c>
    </row>
    <row r="218" spans="1:14" x14ac:dyDescent="0.4">
      <c r="A218" s="1" t="s">
        <v>780</v>
      </c>
      <c r="B218" s="1" t="s">
        <v>673</v>
      </c>
      <c r="C218" s="1" t="s">
        <v>710</v>
      </c>
      <c r="D218" s="1" t="s">
        <v>769</v>
      </c>
      <c r="E218" s="1" t="s">
        <v>577</v>
      </c>
      <c r="F218" s="1" t="s">
        <v>6</v>
      </c>
      <c r="G218" s="1" t="s">
        <v>6</v>
      </c>
      <c r="H218" s="1" t="s">
        <v>7</v>
      </c>
      <c r="I218" s="1" t="s">
        <v>485</v>
      </c>
      <c r="J218" s="1" t="s">
        <v>475</v>
      </c>
      <c r="K218" s="1" t="s">
        <v>564</v>
      </c>
      <c r="N218" s="2" t="s">
        <v>709</v>
      </c>
    </row>
    <row r="219" spans="1:14" x14ac:dyDescent="0.4">
      <c r="A219" s="1" t="s">
        <v>781</v>
      </c>
      <c r="B219" s="1" t="s">
        <v>670</v>
      </c>
      <c r="C219" s="1" t="s">
        <v>710</v>
      </c>
      <c r="D219" s="1" t="s">
        <v>770</v>
      </c>
      <c r="E219" s="1" t="s">
        <v>577</v>
      </c>
      <c r="F219" s="1" t="s">
        <v>6</v>
      </c>
      <c r="G219" s="1" t="s">
        <v>6</v>
      </c>
      <c r="H219" s="1" t="s">
        <v>7</v>
      </c>
      <c r="I219" s="1" t="s">
        <v>485</v>
      </c>
      <c r="J219" s="1" t="s">
        <v>475</v>
      </c>
      <c r="K219" s="1" t="s">
        <v>564</v>
      </c>
      <c r="N219" s="2" t="s">
        <v>709</v>
      </c>
    </row>
    <row r="220" spans="1:14" x14ac:dyDescent="0.4">
      <c r="A220" s="1" t="s">
        <v>782</v>
      </c>
      <c r="B220" s="1" t="s">
        <v>673</v>
      </c>
      <c r="C220" s="1" t="s">
        <v>710</v>
      </c>
      <c r="D220" s="1" t="s">
        <v>771</v>
      </c>
      <c r="E220" s="1" t="s">
        <v>577</v>
      </c>
      <c r="F220" s="1" t="s">
        <v>6</v>
      </c>
      <c r="G220" s="1" t="s">
        <v>6</v>
      </c>
      <c r="H220" s="1" t="s">
        <v>7</v>
      </c>
      <c r="I220" s="1" t="s">
        <v>485</v>
      </c>
      <c r="J220" s="1" t="s">
        <v>475</v>
      </c>
      <c r="K220" s="1" t="s">
        <v>562</v>
      </c>
      <c r="N220" s="2" t="s">
        <v>709</v>
      </c>
    </row>
    <row r="221" spans="1:14" x14ac:dyDescent="0.4">
      <c r="A221" s="1" t="s">
        <v>783</v>
      </c>
      <c r="B221" s="1" t="s">
        <v>673</v>
      </c>
      <c r="C221" s="1" t="s">
        <v>710</v>
      </c>
      <c r="D221" s="1" t="s">
        <v>772</v>
      </c>
      <c r="E221" s="1" t="s">
        <v>577</v>
      </c>
      <c r="F221" s="1" t="s">
        <v>6</v>
      </c>
      <c r="G221" s="1" t="s">
        <v>6</v>
      </c>
      <c r="H221" s="1" t="s">
        <v>7</v>
      </c>
      <c r="I221" s="1" t="s">
        <v>485</v>
      </c>
      <c r="J221" s="1" t="s">
        <v>475</v>
      </c>
      <c r="K221" s="1" t="s">
        <v>562</v>
      </c>
      <c r="N221" s="2" t="s">
        <v>709</v>
      </c>
    </row>
    <row r="222" spans="1:14" x14ac:dyDescent="0.4">
      <c r="A222" s="1" t="s">
        <v>784</v>
      </c>
      <c r="B222" s="1" t="s">
        <v>673</v>
      </c>
      <c r="C222" s="1" t="s">
        <v>710</v>
      </c>
      <c r="D222" s="1" t="s">
        <v>773</v>
      </c>
      <c r="E222" s="1" t="s">
        <v>577</v>
      </c>
      <c r="F222" s="1" t="s">
        <v>6</v>
      </c>
      <c r="G222" s="1" t="s">
        <v>6</v>
      </c>
      <c r="H222" s="1" t="s">
        <v>7</v>
      </c>
      <c r="I222" s="1" t="s">
        <v>485</v>
      </c>
      <c r="J222" s="1" t="s">
        <v>475</v>
      </c>
      <c r="K222" s="1" t="s">
        <v>564</v>
      </c>
      <c r="N222" s="2" t="s">
        <v>709</v>
      </c>
    </row>
    <row r="223" spans="1:14" x14ac:dyDescent="0.4">
      <c r="A223" s="1" t="s">
        <v>785</v>
      </c>
      <c r="B223" s="1" t="s">
        <v>670</v>
      </c>
      <c r="C223" s="1" t="s">
        <v>710</v>
      </c>
      <c r="D223" s="1" t="s">
        <v>774</v>
      </c>
      <c r="E223" s="1" t="s">
        <v>566</v>
      </c>
      <c r="F223" s="1" t="s">
        <v>6</v>
      </c>
      <c r="G223" s="1" t="s">
        <v>6</v>
      </c>
      <c r="H223" s="1" t="s">
        <v>7</v>
      </c>
      <c r="I223" s="1" t="s">
        <v>485</v>
      </c>
      <c r="J223" s="1" t="s">
        <v>475</v>
      </c>
      <c r="K223" s="1" t="s">
        <v>562</v>
      </c>
      <c r="N223" s="2" t="s">
        <v>709</v>
      </c>
    </row>
    <row r="224" spans="1:14" x14ac:dyDescent="0.4">
      <c r="A224" s="1" t="s">
        <v>786</v>
      </c>
      <c r="B224" s="1" t="s">
        <v>670</v>
      </c>
      <c r="C224" s="1" t="s">
        <v>710</v>
      </c>
      <c r="D224" s="6" t="s">
        <v>775</v>
      </c>
      <c r="E224" s="1" t="s">
        <v>566</v>
      </c>
      <c r="F224" s="1" t="s">
        <v>6</v>
      </c>
      <c r="G224" s="1" t="s">
        <v>6</v>
      </c>
      <c r="H224" s="1" t="s">
        <v>7</v>
      </c>
      <c r="I224" s="1" t="s">
        <v>485</v>
      </c>
      <c r="J224" s="1" t="s">
        <v>475</v>
      </c>
      <c r="K224" s="1" t="s">
        <v>562</v>
      </c>
      <c r="N224" s="2" t="s">
        <v>709</v>
      </c>
    </row>
    <row r="225" spans="1:14" x14ac:dyDescent="0.4">
      <c r="A225" s="1" t="s">
        <v>787</v>
      </c>
      <c r="B225" s="1" t="s">
        <v>670</v>
      </c>
      <c r="C225" s="1" t="s">
        <v>710</v>
      </c>
      <c r="D225" s="1" t="s">
        <v>776</v>
      </c>
      <c r="E225" s="1" t="s">
        <v>566</v>
      </c>
      <c r="F225" s="1" t="s">
        <v>6</v>
      </c>
      <c r="G225" s="1" t="s">
        <v>6</v>
      </c>
      <c r="H225" s="1" t="s">
        <v>7</v>
      </c>
      <c r="I225" s="1" t="s">
        <v>485</v>
      </c>
      <c r="J225" s="1" t="s">
        <v>475</v>
      </c>
      <c r="K225" s="1" t="s">
        <v>564</v>
      </c>
      <c r="N225" s="2" t="s">
        <v>709</v>
      </c>
    </row>
    <row r="226" spans="1:14" x14ac:dyDescent="0.4">
      <c r="A226" s="1" t="s">
        <v>788</v>
      </c>
      <c r="B226" s="1" t="s">
        <v>670</v>
      </c>
      <c r="C226" s="1" t="s">
        <v>710</v>
      </c>
      <c r="D226" s="1" t="s">
        <v>777</v>
      </c>
      <c r="E226" s="1" t="s">
        <v>566</v>
      </c>
      <c r="F226" s="1" t="s">
        <v>6</v>
      </c>
      <c r="G226" s="1" t="s">
        <v>6</v>
      </c>
      <c r="H226" s="1" t="s">
        <v>7</v>
      </c>
      <c r="I226" s="1" t="s">
        <v>485</v>
      </c>
      <c r="J226" s="1" t="s">
        <v>475</v>
      </c>
      <c r="K226" s="1" t="s">
        <v>564</v>
      </c>
      <c r="N226" s="2" t="s">
        <v>709</v>
      </c>
    </row>
    <row r="227" spans="1:14" x14ac:dyDescent="0.4">
      <c r="A227" s="1" t="s">
        <v>799</v>
      </c>
      <c r="B227" s="1" t="s">
        <v>673</v>
      </c>
      <c r="C227" s="1" t="s">
        <v>711</v>
      </c>
      <c r="D227" s="1" t="s">
        <v>789</v>
      </c>
      <c r="E227" s="1" t="s">
        <v>577</v>
      </c>
      <c r="H227" s="1" t="s">
        <v>7</v>
      </c>
      <c r="I227" s="1" t="s">
        <v>487</v>
      </c>
      <c r="J227" s="1" t="s">
        <v>475</v>
      </c>
      <c r="K227" s="1" t="s">
        <v>564</v>
      </c>
      <c r="N227" s="2" t="s">
        <v>709</v>
      </c>
    </row>
    <row r="228" spans="1:14" x14ac:dyDescent="0.4">
      <c r="A228" s="1" t="s">
        <v>800</v>
      </c>
      <c r="B228" s="1" t="s">
        <v>673</v>
      </c>
      <c r="C228" s="1" t="s">
        <v>711</v>
      </c>
      <c r="D228" s="1" t="s">
        <v>790</v>
      </c>
      <c r="E228" s="1" t="s">
        <v>566</v>
      </c>
      <c r="H228" s="1" t="s">
        <v>7</v>
      </c>
      <c r="I228" s="1" t="s">
        <v>487</v>
      </c>
      <c r="J228" s="1" t="s">
        <v>479</v>
      </c>
      <c r="K228" s="1" t="s">
        <v>564</v>
      </c>
      <c r="N228" s="2" t="s">
        <v>709</v>
      </c>
    </row>
    <row r="229" spans="1:14" x14ac:dyDescent="0.4">
      <c r="A229" s="1" t="s">
        <v>801</v>
      </c>
      <c r="B229" s="1" t="s">
        <v>670</v>
      </c>
      <c r="C229" s="1" t="s">
        <v>711</v>
      </c>
      <c r="D229" s="1" t="s">
        <v>791</v>
      </c>
      <c r="E229" s="1" t="s">
        <v>566</v>
      </c>
      <c r="H229" s="1" t="s">
        <v>7</v>
      </c>
      <c r="I229" s="1" t="s">
        <v>487</v>
      </c>
      <c r="J229" s="1" t="s">
        <v>479</v>
      </c>
      <c r="K229" s="1" t="s">
        <v>564</v>
      </c>
      <c r="M229" s="2" t="s">
        <v>121</v>
      </c>
      <c r="N229" s="2" t="s">
        <v>709</v>
      </c>
    </row>
    <row r="230" spans="1:14" x14ac:dyDescent="0.4">
      <c r="A230" s="1" t="s">
        <v>802</v>
      </c>
      <c r="B230" s="1" t="s">
        <v>664</v>
      </c>
      <c r="C230" s="1" t="s">
        <v>711</v>
      </c>
      <c r="D230" s="1" t="s">
        <v>792</v>
      </c>
      <c r="E230" s="1" t="s">
        <v>574</v>
      </c>
      <c r="H230" s="1" t="s">
        <v>7</v>
      </c>
      <c r="I230" s="1" t="s">
        <v>487</v>
      </c>
      <c r="J230" s="1" t="s">
        <v>501</v>
      </c>
      <c r="K230" s="1" t="s">
        <v>562</v>
      </c>
      <c r="N230" s="2" t="s">
        <v>709</v>
      </c>
    </row>
    <row r="231" spans="1:14" x14ac:dyDescent="0.4">
      <c r="A231" s="1" t="s">
        <v>803</v>
      </c>
      <c r="B231" s="1" t="s">
        <v>670</v>
      </c>
      <c r="C231" s="1" t="s">
        <v>711</v>
      </c>
      <c r="D231" s="1" t="s">
        <v>793</v>
      </c>
      <c r="E231" s="1" t="s">
        <v>810</v>
      </c>
      <c r="H231" s="1" t="s">
        <v>7</v>
      </c>
      <c r="I231" s="1" t="s">
        <v>487</v>
      </c>
      <c r="J231" s="1" t="s">
        <v>479</v>
      </c>
      <c r="K231" s="1" t="s">
        <v>564</v>
      </c>
      <c r="N231" s="2" t="s">
        <v>709</v>
      </c>
    </row>
    <row r="232" spans="1:14" x14ac:dyDescent="0.4">
      <c r="A232" s="1" t="s">
        <v>804</v>
      </c>
      <c r="B232" s="1" t="s">
        <v>670</v>
      </c>
      <c r="C232" s="1" t="s">
        <v>710</v>
      </c>
      <c r="D232" s="1" t="s">
        <v>794</v>
      </c>
      <c r="E232" s="1" t="s">
        <v>566</v>
      </c>
      <c r="H232" s="1" t="s">
        <v>7</v>
      </c>
      <c r="I232" s="1" t="s">
        <v>487</v>
      </c>
      <c r="J232" s="1" t="s">
        <v>479</v>
      </c>
      <c r="K232" s="1" t="s">
        <v>564</v>
      </c>
      <c r="N232" s="2" t="s">
        <v>709</v>
      </c>
    </row>
    <row r="233" spans="1:14" x14ac:dyDescent="0.4">
      <c r="A233" s="1" t="s">
        <v>805</v>
      </c>
      <c r="B233" s="1" t="s">
        <v>673</v>
      </c>
      <c r="C233" s="1" t="s">
        <v>711</v>
      </c>
      <c r="D233" s="1" t="s">
        <v>795</v>
      </c>
      <c r="E233" s="1" t="s">
        <v>566</v>
      </c>
      <c r="H233" s="1" t="s">
        <v>7</v>
      </c>
      <c r="I233" s="1" t="s">
        <v>487</v>
      </c>
      <c r="J233" s="1" t="s">
        <v>479</v>
      </c>
      <c r="K233" s="1" t="s">
        <v>564</v>
      </c>
      <c r="M233" s="2" t="s">
        <v>121</v>
      </c>
      <c r="N233" s="2" t="s">
        <v>709</v>
      </c>
    </row>
    <row r="234" spans="1:14" x14ac:dyDescent="0.4">
      <c r="A234" s="1" t="s">
        <v>806</v>
      </c>
      <c r="B234" s="1" t="s">
        <v>670</v>
      </c>
      <c r="C234" s="1" t="s">
        <v>711</v>
      </c>
      <c r="D234" s="1" t="s">
        <v>796</v>
      </c>
      <c r="E234" s="1" t="s">
        <v>810</v>
      </c>
      <c r="H234" s="1" t="s">
        <v>7</v>
      </c>
      <c r="I234" s="1" t="s">
        <v>487</v>
      </c>
      <c r="J234" s="1" t="s">
        <v>479</v>
      </c>
      <c r="K234" s="1" t="s">
        <v>564</v>
      </c>
      <c r="M234" s="2" t="s">
        <v>121</v>
      </c>
      <c r="N234" s="2" t="s">
        <v>709</v>
      </c>
    </row>
    <row r="235" spans="1:14" x14ac:dyDescent="0.4">
      <c r="A235" s="1" t="s">
        <v>807</v>
      </c>
      <c r="B235" s="1" t="s">
        <v>673</v>
      </c>
      <c r="C235" s="1" t="s">
        <v>711</v>
      </c>
      <c r="D235" s="1" t="s">
        <v>797</v>
      </c>
      <c r="E235" s="1" t="s">
        <v>566</v>
      </c>
      <c r="H235" s="1" t="s">
        <v>7</v>
      </c>
      <c r="I235" s="1" t="s">
        <v>487</v>
      </c>
      <c r="J235" s="1" t="s">
        <v>479</v>
      </c>
      <c r="K235" s="1" t="s">
        <v>564</v>
      </c>
      <c r="N235" s="2" t="s">
        <v>709</v>
      </c>
    </row>
    <row r="236" spans="1:14" x14ac:dyDescent="0.4">
      <c r="A236" s="1" t="s">
        <v>808</v>
      </c>
      <c r="B236" s="1" t="s">
        <v>670</v>
      </c>
      <c r="C236" s="1" t="s">
        <v>711</v>
      </c>
      <c r="D236" s="1" t="s">
        <v>798</v>
      </c>
      <c r="E236" s="1" t="s">
        <v>566</v>
      </c>
      <c r="H236" s="1" t="s">
        <v>7</v>
      </c>
      <c r="I236" s="1" t="s">
        <v>487</v>
      </c>
      <c r="J236" s="1" t="s">
        <v>479</v>
      </c>
      <c r="K236" s="1" t="s">
        <v>562</v>
      </c>
      <c r="N236" s="2" t="s">
        <v>709</v>
      </c>
    </row>
    <row r="237" spans="1:14" x14ac:dyDescent="0.4">
      <c r="A237" s="1" t="s">
        <v>809</v>
      </c>
      <c r="B237" s="1" t="s">
        <v>670</v>
      </c>
      <c r="C237" s="1" t="s">
        <v>712</v>
      </c>
      <c r="D237" s="2" t="s">
        <v>812</v>
      </c>
      <c r="E237" s="1" t="s">
        <v>566</v>
      </c>
      <c r="H237" s="1" t="s">
        <v>7</v>
      </c>
      <c r="I237" s="1" t="s">
        <v>500</v>
      </c>
      <c r="J237" s="1" t="s">
        <v>479</v>
      </c>
      <c r="K237" s="1" t="s">
        <v>564</v>
      </c>
      <c r="M237" s="2" t="s">
        <v>121</v>
      </c>
      <c r="N237" s="2" t="s">
        <v>709</v>
      </c>
    </row>
    <row r="238" spans="1:14" x14ac:dyDescent="0.4">
      <c r="A238" s="1" t="s">
        <v>818</v>
      </c>
      <c r="B238" s="1" t="s">
        <v>673</v>
      </c>
      <c r="C238" s="1" t="s">
        <v>711</v>
      </c>
      <c r="D238" s="1" t="s">
        <v>813</v>
      </c>
      <c r="E238" s="1" t="s">
        <v>566</v>
      </c>
      <c r="H238" s="1" t="s">
        <v>7</v>
      </c>
      <c r="I238" s="1" t="s">
        <v>500</v>
      </c>
      <c r="J238" s="1" t="s">
        <v>479</v>
      </c>
      <c r="K238" s="1" t="s">
        <v>564</v>
      </c>
      <c r="M238" s="2" t="s">
        <v>121</v>
      </c>
      <c r="N238" s="2" t="s">
        <v>709</v>
      </c>
    </row>
    <row r="239" spans="1:14" x14ac:dyDescent="0.4">
      <c r="A239" s="1" t="s">
        <v>819</v>
      </c>
      <c r="B239" s="1" t="s">
        <v>670</v>
      </c>
      <c r="C239" s="1" t="s">
        <v>711</v>
      </c>
      <c r="D239" s="1" t="s">
        <v>814</v>
      </c>
      <c r="E239" s="1" t="s">
        <v>566</v>
      </c>
      <c r="H239" s="1" t="s">
        <v>7</v>
      </c>
      <c r="I239" s="1" t="s">
        <v>500</v>
      </c>
      <c r="J239" s="1" t="s">
        <v>475</v>
      </c>
      <c r="K239" s="1" t="s">
        <v>562</v>
      </c>
      <c r="M239" s="2" t="s">
        <v>120</v>
      </c>
      <c r="N239" s="2" t="s">
        <v>709</v>
      </c>
    </row>
    <row r="240" spans="1:14" x14ac:dyDescent="0.4">
      <c r="A240" s="1" t="s">
        <v>820</v>
      </c>
      <c r="B240" s="1" t="s">
        <v>670</v>
      </c>
      <c r="C240" s="1" t="s">
        <v>711</v>
      </c>
      <c r="D240" s="6" t="s">
        <v>815</v>
      </c>
      <c r="E240" s="1" t="s">
        <v>566</v>
      </c>
      <c r="H240" s="1" t="s">
        <v>7</v>
      </c>
      <c r="I240" s="1" t="s">
        <v>500</v>
      </c>
      <c r="J240" s="1" t="s">
        <v>479</v>
      </c>
      <c r="K240" s="1" t="s">
        <v>564</v>
      </c>
      <c r="N240" s="2" t="s">
        <v>709</v>
      </c>
    </row>
    <row r="241" spans="1:14" x14ac:dyDescent="0.4">
      <c r="A241" s="1" t="s">
        <v>821</v>
      </c>
      <c r="B241" s="1" t="s">
        <v>673</v>
      </c>
      <c r="C241" s="1" t="s">
        <v>712</v>
      </c>
      <c r="D241" s="1" t="s">
        <v>816</v>
      </c>
      <c r="E241" s="1" t="s">
        <v>566</v>
      </c>
      <c r="H241" s="1" t="s">
        <v>7</v>
      </c>
      <c r="I241" s="1" t="s">
        <v>500</v>
      </c>
      <c r="J241" s="1" t="s">
        <v>479</v>
      </c>
      <c r="K241" s="1" t="s">
        <v>562</v>
      </c>
      <c r="N241" s="2" t="s">
        <v>709</v>
      </c>
    </row>
    <row r="242" spans="1:14" x14ac:dyDescent="0.4">
      <c r="A242" s="1" t="s">
        <v>822</v>
      </c>
      <c r="B242" s="1" t="s">
        <v>670</v>
      </c>
      <c r="C242" s="1" t="s">
        <v>712</v>
      </c>
      <c r="D242" s="1" t="s">
        <v>817</v>
      </c>
      <c r="E242" s="1" t="s">
        <v>566</v>
      </c>
      <c r="H242" s="1" t="s">
        <v>7</v>
      </c>
      <c r="I242" s="1" t="s">
        <v>500</v>
      </c>
      <c r="J242" s="1" t="s">
        <v>479</v>
      </c>
      <c r="K242" s="1" t="s">
        <v>562</v>
      </c>
      <c r="N242" s="2" t="s">
        <v>709</v>
      </c>
    </row>
    <row r="243" spans="1:14" x14ac:dyDescent="0.4">
      <c r="A243" s="1" t="s">
        <v>829</v>
      </c>
      <c r="B243" s="1" t="s">
        <v>673</v>
      </c>
      <c r="C243" s="1" t="s">
        <v>712</v>
      </c>
      <c r="D243" s="1" t="s">
        <v>823</v>
      </c>
      <c r="E243" s="1" t="s">
        <v>577</v>
      </c>
      <c r="H243" s="1" t="s">
        <v>7</v>
      </c>
      <c r="I243" s="1" t="s">
        <v>489</v>
      </c>
      <c r="J243" s="1" t="s">
        <v>479</v>
      </c>
      <c r="K243" s="1" t="s">
        <v>564</v>
      </c>
      <c r="N243" s="2" t="s">
        <v>709</v>
      </c>
    </row>
    <row r="244" spans="1:14" x14ac:dyDescent="0.4">
      <c r="A244" s="1" t="s">
        <v>830</v>
      </c>
      <c r="B244" s="1" t="s">
        <v>673</v>
      </c>
      <c r="C244" s="1" t="s">
        <v>712</v>
      </c>
      <c r="D244" s="1" t="s">
        <v>824</v>
      </c>
      <c r="E244" s="1" t="s">
        <v>577</v>
      </c>
      <c r="H244" s="1" t="s">
        <v>7</v>
      </c>
      <c r="I244" s="1" t="s">
        <v>489</v>
      </c>
      <c r="J244" s="1" t="s">
        <v>479</v>
      </c>
      <c r="K244" s="1" t="s">
        <v>564</v>
      </c>
      <c r="N244" s="2" t="s">
        <v>709</v>
      </c>
    </row>
    <row r="245" spans="1:14" x14ac:dyDescent="0.4">
      <c r="A245" s="1" t="s">
        <v>831</v>
      </c>
      <c r="B245" s="1" t="s">
        <v>670</v>
      </c>
      <c r="C245" s="1" t="s">
        <v>712</v>
      </c>
      <c r="D245" s="1" t="s">
        <v>825</v>
      </c>
      <c r="E245" s="1" t="s">
        <v>566</v>
      </c>
      <c r="H245" s="1" t="s">
        <v>7</v>
      </c>
      <c r="I245" s="1" t="s">
        <v>489</v>
      </c>
      <c r="J245" s="1" t="s">
        <v>479</v>
      </c>
      <c r="K245" s="1" t="s">
        <v>564</v>
      </c>
      <c r="N245" s="2" t="s">
        <v>709</v>
      </c>
    </row>
    <row r="246" spans="1:14" x14ac:dyDescent="0.4">
      <c r="A246" s="1" t="s">
        <v>832</v>
      </c>
      <c r="B246" s="1" t="s">
        <v>670</v>
      </c>
      <c r="C246" s="1" t="s">
        <v>710</v>
      </c>
      <c r="D246" s="1" t="s">
        <v>826</v>
      </c>
      <c r="E246" s="1" t="s">
        <v>566</v>
      </c>
      <c r="H246" s="1" t="s">
        <v>7</v>
      </c>
      <c r="I246" s="1" t="s">
        <v>489</v>
      </c>
      <c r="J246" s="1" t="s">
        <v>475</v>
      </c>
      <c r="K246" s="1" t="s">
        <v>564</v>
      </c>
      <c r="N246" s="2" t="s">
        <v>709</v>
      </c>
    </row>
    <row r="247" spans="1:14" x14ac:dyDescent="0.4">
      <c r="A247" s="1" t="s">
        <v>833</v>
      </c>
      <c r="B247" s="1" t="s">
        <v>670</v>
      </c>
      <c r="C247" s="1" t="s">
        <v>710</v>
      </c>
      <c r="D247" s="1" t="s">
        <v>827</v>
      </c>
      <c r="E247" s="1" t="s">
        <v>566</v>
      </c>
      <c r="H247" s="1" t="s">
        <v>7</v>
      </c>
      <c r="I247" s="1" t="s">
        <v>489</v>
      </c>
      <c r="J247" s="1" t="s">
        <v>475</v>
      </c>
      <c r="K247" s="1" t="s">
        <v>562</v>
      </c>
      <c r="N247" s="2" t="s">
        <v>709</v>
      </c>
    </row>
    <row r="248" spans="1:14" x14ac:dyDescent="0.4">
      <c r="A248" s="1" t="s">
        <v>834</v>
      </c>
      <c r="B248" s="1" t="s">
        <v>673</v>
      </c>
      <c r="C248" s="1" t="s">
        <v>712</v>
      </c>
      <c r="D248" s="1" t="s">
        <v>828</v>
      </c>
      <c r="E248" s="1" t="s">
        <v>577</v>
      </c>
      <c r="H248" s="1" t="s">
        <v>6</v>
      </c>
      <c r="I248" s="1" t="s">
        <v>489</v>
      </c>
      <c r="J248" s="1" t="s">
        <v>479</v>
      </c>
      <c r="K248" s="1" t="s">
        <v>564</v>
      </c>
      <c r="N248" s="2" t="s">
        <v>709</v>
      </c>
    </row>
    <row r="249" spans="1:14" x14ac:dyDescent="0.4">
      <c r="A249" s="1" t="s">
        <v>841</v>
      </c>
      <c r="B249" s="1" t="s">
        <v>670</v>
      </c>
      <c r="C249" s="1" t="s">
        <v>710</v>
      </c>
      <c r="D249" s="1" t="s">
        <v>835</v>
      </c>
      <c r="E249" s="1" t="s">
        <v>574</v>
      </c>
      <c r="H249" s="1" t="s">
        <v>7</v>
      </c>
      <c r="I249" s="1" t="s">
        <v>477</v>
      </c>
      <c r="J249" s="1" t="s">
        <v>552</v>
      </c>
      <c r="K249" s="1" t="s">
        <v>564</v>
      </c>
      <c r="N249" s="2" t="s">
        <v>709</v>
      </c>
    </row>
    <row r="250" spans="1:14" x14ac:dyDescent="0.4">
      <c r="A250" s="1" t="s">
        <v>842</v>
      </c>
      <c r="B250" s="1" t="s">
        <v>673</v>
      </c>
      <c r="C250" s="1" t="s">
        <v>712</v>
      </c>
      <c r="D250" s="1" t="s">
        <v>836</v>
      </c>
      <c r="E250" s="1" t="s">
        <v>566</v>
      </c>
      <c r="H250" s="1" t="s">
        <v>7</v>
      </c>
      <c r="I250" s="1" t="s">
        <v>489</v>
      </c>
      <c r="J250" s="1" t="s">
        <v>501</v>
      </c>
      <c r="K250" s="1" t="s">
        <v>564</v>
      </c>
      <c r="M250" s="2" t="s">
        <v>121</v>
      </c>
      <c r="N250" s="2" t="s">
        <v>709</v>
      </c>
    </row>
    <row r="251" spans="1:14" x14ac:dyDescent="0.4">
      <c r="A251" s="1" t="s">
        <v>843</v>
      </c>
      <c r="B251" s="1" t="s">
        <v>673</v>
      </c>
      <c r="C251" s="1" t="s">
        <v>710</v>
      </c>
      <c r="D251" s="1" t="s">
        <v>837</v>
      </c>
      <c r="E251" s="1" t="s">
        <v>566</v>
      </c>
      <c r="H251" s="1" t="s">
        <v>7</v>
      </c>
      <c r="I251" s="1" t="s">
        <v>517</v>
      </c>
      <c r="J251" s="1" t="s">
        <v>552</v>
      </c>
      <c r="K251" s="1" t="s">
        <v>560</v>
      </c>
      <c r="N251" s="2" t="s">
        <v>709</v>
      </c>
    </row>
    <row r="252" spans="1:14" x14ac:dyDescent="0.4">
      <c r="A252" s="1" t="s">
        <v>844</v>
      </c>
      <c r="B252" s="1" t="s">
        <v>673</v>
      </c>
      <c r="C252" s="1" t="s">
        <v>711</v>
      </c>
      <c r="D252" s="1" t="s">
        <v>838</v>
      </c>
      <c r="E252" s="1" t="s">
        <v>566</v>
      </c>
      <c r="H252" s="1" t="s">
        <v>7</v>
      </c>
      <c r="I252" s="1" t="s">
        <v>487</v>
      </c>
      <c r="J252" s="1" t="s">
        <v>501</v>
      </c>
      <c r="K252" s="1" t="s">
        <v>564</v>
      </c>
      <c r="N252" s="2" t="s">
        <v>709</v>
      </c>
    </row>
    <row r="253" spans="1:14" x14ac:dyDescent="0.4">
      <c r="A253" s="1" t="s">
        <v>845</v>
      </c>
      <c r="B253" s="1" t="s">
        <v>670</v>
      </c>
      <c r="C253" s="1" t="s">
        <v>710</v>
      </c>
      <c r="D253" s="1" t="s">
        <v>839</v>
      </c>
      <c r="E253" s="1" t="s">
        <v>566</v>
      </c>
      <c r="H253" s="1" t="s">
        <v>7</v>
      </c>
      <c r="I253" s="1" t="s">
        <v>485</v>
      </c>
      <c r="J253" s="1" t="s">
        <v>552</v>
      </c>
      <c r="K253" s="1" t="s">
        <v>560</v>
      </c>
      <c r="N253" s="2" t="s">
        <v>709</v>
      </c>
    </row>
    <row r="254" spans="1:14" x14ac:dyDescent="0.4">
      <c r="A254" s="1" t="s">
        <v>846</v>
      </c>
      <c r="B254" s="1" t="s">
        <v>733</v>
      </c>
      <c r="C254" s="1" t="s">
        <v>710</v>
      </c>
      <c r="D254" s="1" t="s">
        <v>840</v>
      </c>
      <c r="E254" s="1" t="s">
        <v>566</v>
      </c>
      <c r="H254" s="1" t="s">
        <v>7</v>
      </c>
      <c r="I254" s="1" t="s">
        <v>608</v>
      </c>
      <c r="J254" s="1" t="s">
        <v>552</v>
      </c>
      <c r="K254" s="1" t="s">
        <v>560</v>
      </c>
      <c r="N254" s="2" t="s">
        <v>709</v>
      </c>
    </row>
    <row r="255" spans="1:14" x14ac:dyDescent="0.4">
      <c r="A255" s="1" t="s">
        <v>847</v>
      </c>
      <c r="B255" s="1" t="s">
        <v>670</v>
      </c>
      <c r="C255" s="1" t="s">
        <v>710</v>
      </c>
      <c r="D255" s="6" t="s">
        <v>848</v>
      </c>
      <c r="E255" s="1" t="s">
        <v>566</v>
      </c>
      <c r="H255" s="1" t="s">
        <v>7</v>
      </c>
      <c r="I255" s="1" t="s">
        <v>517</v>
      </c>
      <c r="J255" s="1" t="s">
        <v>552</v>
      </c>
      <c r="K255" s="1" t="s">
        <v>560</v>
      </c>
      <c r="N255" s="2" t="s">
        <v>709</v>
      </c>
    </row>
    <row r="256" spans="1:14" x14ac:dyDescent="0.4">
      <c r="A256" s="1" t="s">
        <v>854</v>
      </c>
      <c r="B256" s="1" t="s">
        <v>673</v>
      </c>
      <c r="C256" s="1" t="s">
        <v>710</v>
      </c>
      <c r="D256" s="1" t="s">
        <v>849</v>
      </c>
      <c r="E256" s="1" t="s">
        <v>513</v>
      </c>
      <c r="H256" s="1" t="s">
        <v>7</v>
      </c>
      <c r="I256" s="1" t="s">
        <v>500</v>
      </c>
      <c r="J256" s="1" t="s">
        <v>526</v>
      </c>
      <c r="K256" s="1" t="s">
        <v>560</v>
      </c>
      <c r="N256" s="2" t="s">
        <v>709</v>
      </c>
    </row>
    <row r="257" spans="1:14" x14ac:dyDescent="0.4">
      <c r="A257" s="1" t="s">
        <v>855</v>
      </c>
      <c r="B257" s="1" t="s">
        <v>670</v>
      </c>
      <c r="C257" s="1" t="s">
        <v>710</v>
      </c>
      <c r="D257" s="1" t="s">
        <v>850</v>
      </c>
      <c r="E257" s="1" t="s">
        <v>566</v>
      </c>
      <c r="H257" s="1" t="s">
        <v>7</v>
      </c>
      <c r="I257" s="1" t="s">
        <v>489</v>
      </c>
      <c r="J257" s="1" t="s">
        <v>526</v>
      </c>
      <c r="K257" s="1" t="s">
        <v>564</v>
      </c>
      <c r="N257" s="2" t="s">
        <v>709</v>
      </c>
    </row>
    <row r="258" spans="1:14" x14ac:dyDescent="0.4">
      <c r="A258" s="1" t="s">
        <v>856</v>
      </c>
      <c r="B258" s="1" t="s">
        <v>670</v>
      </c>
      <c r="C258" s="1" t="s">
        <v>710</v>
      </c>
      <c r="D258" s="1" t="s">
        <v>851</v>
      </c>
      <c r="E258" s="1" t="s">
        <v>566</v>
      </c>
      <c r="H258" s="1" t="s">
        <v>7</v>
      </c>
      <c r="I258" s="1" t="s">
        <v>485</v>
      </c>
      <c r="J258" s="1" t="s">
        <v>526</v>
      </c>
      <c r="K258" s="1" t="s">
        <v>564</v>
      </c>
      <c r="L258" s="1">
        <v>1</v>
      </c>
      <c r="N258" s="2" t="s">
        <v>709</v>
      </c>
    </row>
    <row r="259" spans="1:14" x14ac:dyDescent="0.4">
      <c r="A259" s="1" t="s">
        <v>857</v>
      </c>
      <c r="B259" s="1" t="s">
        <v>733</v>
      </c>
      <c r="C259" s="1" t="s">
        <v>710</v>
      </c>
      <c r="D259" s="1" t="s">
        <v>852</v>
      </c>
      <c r="E259" s="1" t="s">
        <v>566</v>
      </c>
      <c r="H259" s="1" t="s">
        <v>7</v>
      </c>
      <c r="I259" s="1" t="s">
        <v>608</v>
      </c>
      <c r="J259" s="1" t="s">
        <v>526</v>
      </c>
      <c r="K259" s="1" t="s">
        <v>560</v>
      </c>
      <c r="N259" s="2" t="s">
        <v>709</v>
      </c>
    </row>
    <row r="260" spans="1:14" x14ac:dyDescent="0.4">
      <c r="A260" s="1" t="s">
        <v>858</v>
      </c>
      <c r="B260" s="1" t="s">
        <v>673</v>
      </c>
      <c r="C260" s="1" t="s">
        <v>710</v>
      </c>
      <c r="D260" s="1" t="s">
        <v>853</v>
      </c>
      <c r="E260" s="1" t="s">
        <v>513</v>
      </c>
      <c r="H260" s="1" t="s">
        <v>7</v>
      </c>
      <c r="I260" s="1" t="s">
        <v>485</v>
      </c>
      <c r="J260" s="1" t="s">
        <v>526</v>
      </c>
      <c r="K260" s="1" t="s">
        <v>560</v>
      </c>
      <c r="N260" s="2" t="s">
        <v>709</v>
      </c>
    </row>
    <row r="261" spans="1:14" x14ac:dyDescent="0.4">
      <c r="A261" s="1" t="s">
        <v>860</v>
      </c>
      <c r="B261" s="1" t="s">
        <v>673</v>
      </c>
      <c r="C261" s="1" t="s">
        <v>710</v>
      </c>
      <c r="D261" s="1" t="s">
        <v>859</v>
      </c>
      <c r="E261" s="1" t="s">
        <v>513</v>
      </c>
      <c r="H261" s="1" t="s">
        <v>7</v>
      </c>
      <c r="I261" s="1" t="s">
        <v>487</v>
      </c>
      <c r="J261" s="1" t="s">
        <v>526</v>
      </c>
      <c r="K261" s="1" t="s">
        <v>564</v>
      </c>
      <c r="N261" s="2" t="s">
        <v>709</v>
      </c>
    </row>
  </sheetData>
  <mergeCells count="1">
    <mergeCell ref="E1:H1"/>
  </mergeCells>
  <phoneticPr fontId="2"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7">
        <x14:dataValidation type="list" allowBlank="1" showInputMessage="1" showErrorMessage="1" xr:uid="{615221A0-F33D-4982-A2C3-03CB64C9C96A}">
          <x14:formula1>
            <xm:f>清單選項!$D$3:$D$12</xm:f>
          </x14:formula1>
          <xm:sqref>I4:I261</xm:sqref>
        </x14:dataValidation>
        <x14:dataValidation type="list" allowBlank="1" showInputMessage="1" showErrorMessage="1" xr:uid="{F389F8A0-3F09-4118-83F8-6C3C693744EA}">
          <x14:formula1>
            <xm:f>清單選項!$E$3:$E$20</xm:f>
          </x14:formula1>
          <xm:sqref>J4:J261</xm:sqref>
        </x14:dataValidation>
        <x14:dataValidation type="list" allowBlank="1" showInputMessage="1" showErrorMessage="1" xr:uid="{0F2395FA-CCB8-4FFE-B38E-3C60079BDA6C}">
          <x14:formula1>
            <xm:f>清單選項!$F$3:$F$5</xm:f>
          </x14:formula1>
          <xm:sqref>K3</xm:sqref>
        </x14:dataValidation>
        <x14:dataValidation type="list" allowBlank="1" showInputMessage="1" showErrorMessage="1" xr:uid="{AF4A0D9E-A52B-4EB8-9FC8-AE147463311F}">
          <x14:formula1>
            <xm:f>清單選項!$F$3:$F$6</xm:f>
          </x14:formula1>
          <xm:sqref>K4:K261</xm:sqref>
        </x14:dataValidation>
        <x14:dataValidation type="list" allowBlank="1" showInputMessage="1" showErrorMessage="1" xr:uid="{0F543B0C-595C-4143-9175-FAC173C2D428}">
          <x14:formula1>
            <xm:f>清單選項!$C$3:$C$8</xm:f>
          </x14:formula1>
          <xm:sqref>E3:E261</xm:sqref>
        </x14:dataValidation>
        <x14:dataValidation type="list" allowBlank="1" showInputMessage="1" showErrorMessage="1" xr:uid="{17990AAD-8E72-44F5-B8BE-816DB7D8FDF6}">
          <x14:formula1>
            <xm:f>清單選項!$B$3:$B$6</xm:f>
          </x14:formula1>
          <xm:sqref>C4:C261</xm:sqref>
        </x14:dataValidation>
        <x14:dataValidation type="list" allowBlank="1" showInputMessage="1" showErrorMessage="1" xr:uid="{8E734410-6859-4916-92B0-2ADF6F9C6AAF}">
          <x14:formula1>
            <xm:f>清單選項!$A$3:$A$11</xm:f>
          </x14:formula1>
          <xm:sqref>B4:B261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D18FD-706B-423D-A1C9-E7D4E7EB4348}">
  <dimension ref="A1:F128"/>
  <sheetViews>
    <sheetView topLeftCell="A115" workbookViewId="0">
      <selection activeCell="E125" sqref="E125"/>
    </sheetView>
  </sheetViews>
  <sheetFormatPr defaultRowHeight="15.5" x14ac:dyDescent="0.4"/>
  <cols>
    <col min="1" max="1" width="21.81640625" style="1" bestFit="1" customWidth="1"/>
    <col min="2" max="3" width="8.7265625" style="1"/>
    <col min="4" max="4" width="14.7265625" style="1" bestFit="1" customWidth="1"/>
    <col min="5" max="5" width="10.36328125" style="1" bestFit="1" customWidth="1"/>
    <col min="6" max="16384" width="8.7265625" style="1"/>
  </cols>
  <sheetData>
    <row r="1" spans="1:6" ht="17" x14ac:dyDescent="0.4">
      <c r="A1" s="20" t="s">
        <v>873</v>
      </c>
      <c r="B1" s="8" t="s">
        <v>264</v>
      </c>
      <c r="C1" s="8" t="s">
        <v>265</v>
      </c>
      <c r="D1" s="8" t="s">
        <v>266</v>
      </c>
      <c r="E1" s="8" t="s">
        <v>267</v>
      </c>
      <c r="F1" s="8" t="s">
        <v>268</v>
      </c>
    </row>
    <row r="2" spans="1:6" ht="17" x14ac:dyDescent="0.4">
      <c r="A2" s="1" t="str">
        <f>_xlfn.XLOOKUP(B2,表格1[ID],表格1[Dish])</f>
        <v>燕麥蒸肉餅</v>
      </c>
      <c r="B2" s="1" t="s">
        <v>129</v>
      </c>
      <c r="C2" s="1" t="s">
        <v>269</v>
      </c>
      <c r="D2" s="1" t="s">
        <v>270</v>
      </c>
      <c r="E2" s="1">
        <v>4</v>
      </c>
      <c r="F2" s="1" t="s">
        <v>271</v>
      </c>
    </row>
    <row r="3" spans="1:6" ht="17" x14ac:dyDescent="0.4">
      <c r="A3" s="1" t="str">
        <f>_xlfn.XLOOKUP(B3,表格1[ID],表格1[Dish])</f>
        <v>燕麥蒸肉餅</v>
      </c>
      <c r="B3" s="1" t="s">
        <v>129</v>
      </c>
      <c r="C3" s="1" t="s">
        <v>269</v>
      </c>
      <c r="D3" s="1" t="s">
        <v>272</v>
      </c>
      <c r="E3" s="1">
        <v>2</v>
      </c>
      <c r="F3" s="1" t="s">
        <v>273</v>
      </c>
    </row>
    <row r="4" spans="1:6" ht="17" x14ac:dyDescent="0.4">
      <c r="A4" s="1" t="str">
        <f>_xlfn.XLOOKUP(B4,表格1[ID],表格1[Dish])</f>
        <v>燕麥蒸肉餅</v>
      </c>
      <c r="B4" s="1" t="s">
        <v>129</v>
      </c>
      <c r="C4" s="1" t="s">
        <v>269</v>
      </c>
      <c r="D4" s="1" t="s">
        <v>274</v>
      </c>
      <c r="E4" s="1">
        <v>120</v>
      </c>
      <c r="F4" s="1" t="s">
        <v>249</v>
      </c>
    </row>
    <row r="5" spans="1:6" ht="17" x14ac:dyDescent="0.4">
      <c r="A5" s="1" t="str">
        <f>_xlfn.XLOOKUP(B5,表格1[ID],表格1[Dish])</f>
        <v>燕麥蒸肉餅</v>
      </c>
      <c r="B5" s="1" t="s">
        <v>128</v>
      </c>
      <c r="C5" s="1" t="s">
        <v>275</v>
      </c>
      <c r="D5" s="1" t="s">
        <v>446</v>
      </c>
      <c r="E5" s="1">
        <v>0.5</v>
      </c>
      <c r="F5" s="1" t="s">
        <v>276</v>
      </c>
    </row>
    <row r="6" spans="1:6" ht="17" x14ac:dyDescent="0.4">
      <c r="A6" s="1" t="str">
        <f>_xlfn.XLOOKUP(B6,表格1[ID],表格1[Dish])</f>
        <v>燕麥蒸肉餅</v>
      </c>
      <c r="B6" s="1" t="s">
        <v>128</v>
      </c>
      <c r="C6" s="1" t="s">
        <v>275</v>
      </c>
      <c r="D6" s="1" t="s">
        <v>277</v>
      </c>
      <c r="E6" s="1">
        <v>0.5</v>
      </c>
      <c r="F6" s="1" t="s">
        <v>276</v>
      </c>
    </row>
    <row r="7" spans="1:6" ht="17" x14ac:dyDescent="0.4">
      <c r="A7" s="1" t="str">
        <f>_xlfn.XLOOKUP(B7,表格1[ID],表格1[Dish])</f>
        <v>燕麥蒸肉餅</v>
      </c>
      <c r="B7" s="1" t="s">
        <v>128</v>
      </c>
      <c r="C7" s="1" t="s">
        <v>275</v>
      </c>
      <c r="D7" s="1" t="s">
        <v>278</v>
      </c>
      <c r="E7" s="1">
        <v>0.5</v>
      </c>
      <c r="F7" s="1" t="s">
        <v>276</v>
      </c>
    </row>
    <row r="8" spans="1:6" ht="17" x14ac:dyDescent="0.4">
      <c r="A8" s="1" t="str">
        <f>_xlfn.XLOOKUP(B8,表格1[ID],表格1[Dish])</f>
        <v>燕麥蒸肉餅</v>
      </c>
      <c r="B8" s="1" t="s">
        <v>128</v>
      </c>
      <c r="C8" s="1" t="s">
        <v>275</v>
      </c>
      <c r="D8" s="1" t="s">
        <v>279</v>
      </c>
      <c r="E8" s="1">
        <v>1</v>
      </c>
      <c r="F8" s="1" t="s">
        <v>276</v>
      </c>
    </row>
    <row r="9" spans="1:6" ht="17" x14ac:dyDescent="0.4">
      <c r="A9" s="1" t="str">
        <f>_xlfn.XLOOKUP(B9,表格1[ID],表格1[Dish])</f>
        <v>燕麥蒸肉餅</v>
      </c>
      <c r="B9" s="1" t="s">
        <v>128</v>
      </c>
      <c r="C9" s="1" t="s">
        <v>280</v>
      </c>
      <c r="D9" s="1" t="s">
        <v>281</v>
      </c>
      <c r="E9" s="1" t="s">
        <v>282</v>
      </c>
      <c r="F9" s="1" t="s">
        <v>241</v>
      </c>
    </row>
    <row r="10" spans="1:6" ht="17" x14ac:dyDescent="0.4">
      <c r="A10" s="1" t="str">
        <f>_xlfn.XLOOKUP(B10,表格1[ID],表格1[Dish])</f>
        <v>椰青木瓜果凍</v>
      </c>
      <c r="B10" s="1" t="s">
        <v>217</v>
      </c>
      <c r="C10" s="1" t="s">
        <v>269</v>
      </c>
      <c r="D10" s="1" t="s">
        <v>283</v>
      </c>
      <c r="E10" s="1">
        <v>0.5</v>
      </c>
      <c r="F10" s="1" t="s">
        <v>284</v>
      </c>
    </row>
    <row r="11" spans="1:6" ht="17" x14ac:dyDescent="0.4">
      <c r="A11" s="1" t="str">
        <f>_xlfn.XLOOKUP(B11,表格1[ID],表格1[Dish])</f>
        <v>椰青木瓜果凍</v>
      </c>
      <c r="B11" s="1" t="s">
        <v>217</v>
      </c>
      <c r="C11" s="1" t="s">
        <v>269</v>
      </c>
      <c r="D11" s="1" t="s">
        <v>285</v>
      </c>
      <c r="E11" s="1">
        <v>200</v>
      </c>
      <c r="F11" s="1" t="s">
        <v>249</v>
      </c>
    </row>
    <row r="12" spans="1:6" ht="17" x14ac:dyDescent="0.4">
      <c r="A12" s="1" t="str">
        <f>_xlfn.XLOOKUP(B12,表格1[ID],表格1[Dish])</f>
        <v>椰青木瓜果凍</v>
      </c>
      <c r="B12" s="1" t="s">
        <v>217</v>
      </c>
      <c r="C12" s="1" t="s">
        <v>269</v>
      </c>
      <c r="D12" s="1" t="s">
        <v>260</v>
      </c>
      <c r="E12" s="1">
        <v>250</v>
      </c>
      <c r="F12" s="1" t="s">
        <v>249</v>
      </c>
    </row>
    <row r="13" spans="1:6" ht="17" x14ac:dyDescent="0.4">
      <c r="A13" s="1" t="str">
        <f>_xlfn.XLOOKUP(B13,表格1[ID],表格1[Dish])</f>
        <v>椰青木瓜果凍</v>
      </c>
      <c r="B13" s="1" t="s">
        <v>217</v>
      </c>
      <c r="C13" s="1" t="s">
        <v>269</v>
      </c>
      <c r="D13" s="1" t="s">
        <v>262</v>
      </c>
      <c r="E13" s="1">
        <v>5</v>
      </c>
      <c r="F13" s="1" t="s">
        <v>286</v>
      </c>
    </row>
    <row r="14" spans="1:6" ht="17" x14ac:dyDescent="0.4">
      <c r="A14" s="1" t="str">
        <f>_xlfn.XLOOKUP(B14,表格1[ID],表格1[Dish])</f>
        <v>椰青木瓜果凍</v>
      </c>
      <c r="B14" s="1" t="s">
        <v>217</v>
      </c>
      <c r="C14" s="1" t="s">
        <v>275</v>
      </c>
      <c r="D14" s="1" t="s">
        <v>244</v>
      </c>
      <c r="E14" s="1">
        <v>30</v>
      </c>
      <c r="F14" s="1" t="s">
        <v>286</v>
      </c>
    </row>
    <row r="15" spans="1:6" ht="17" x14ac:dyDescent="0.4">
      <c r="A15" s="1" t="str">
        <f>_xlfn.XLOOKUP(B15,表格1[ID],表格1[Dish])</f>
        <v>紫薯布甸</v>
      </c>
      <c r="B15" s="1" t="s">
        <v>209</v>
      </c>
      <c r="C15" s="1" t="s">
        <v>269</v>
      </c>
      <c r="D15" s="1" t="s">
        <v>290</v>
      </c>
      <c r="E15" s="1">
        <v>300</v>
      </c>
      <c r="F15" s="1" t="s">
        <v>286</v>
      </c>
    </row>
    <row r="16" spans="1:6" ht="17" x14ac:dyDescent="0.4">
      <c r="A16" s="1" t="str">
        <f>_xlfn.XLOOKUP(B16,表格1[ID],表格1[Dish])</f>
        <v>紫薯布甸</v>
      </c>
      <c r="B16" s="1" t="s">
        <v>209</v>
      </c>
      <c r="C16" s="1" t="s">
        <v>269</v>
      </c>
      <c r="D16" s="1" t="s">
        <v>292</v>
      </c>
      <c r="E16" s="1">
        <v>200</v>
      </c>
      <c r="F16" s="1" t="s">
        <v>249</v>
      </c>
    </row>
    <row r="17" spans="1:6" ht="17" x14ac:dyDescent="0.4">
      <c r="A17" s="1" t="str">
        <f>_xlfn.XLOOKUP(B17,表格1[ID],表格1[Dish])</f>
        <v>紫薯布甸</v>
      </c>
      <c r="B17" s="1" t="s">
        <v>209</v>
      </c>
      <c r="C17" s="1" t="s">
        <v>269</v>
      </c>
      <c r="D17" s="1" t="s">
        <v>294</v>
      </c>
      <c r="E17" s="1">
        <v>300</v>
      </c>
      <c r="F17" s="1" t="s">
        <v>249</v>
      </c>
    </row>
    <row r="18" spans="1:6" ht="17" x14ac:dyDescent="0.4">
      <c r="A18" s="1" t="str">
        <f>_xlfn.XLOOKUP(B18,表格1[ID],表格1[Dish])</f>
        <v>紫薯布甸</v>
      </c>
      <c r="B18" s="1" t="s">
        <v>209</v>
      </c>
      <c r="C18" s="1" t="s">
        <v>275</v>
      </c>
      <c r="D18" s="1" t="s">
        <v>244</v>
      </c>
      <c r="E18" s="1">
        <v>50</v>
      </c>
      <c r="F18" s="1" t="s">
        <v>286</v>
      </c>
    </row>
    <row r="19" spans="1:6" ht="17" x14ac:dyDescent="0.4">
      <c r="A19" s="1" t="str">
        <f>_xlfn.XLOOKUP(B19,表格1[ID],表格1[Dish])</f>
        <v>紫薯布甸</v>
      </c>
      <c r="B19" s="1" t="s">
        <v>209</v>
      </c>
      <c r="C19" s="1" t="s">
        <v>269</v>
      </c>
      <c r="D19" s="1" t="s">
        <v>296</v>
      </c>
      <c r="E19" s="1">
        <v>3</v>
      </c>
      <c r="F19" s="1" t="s">
        <v>393</v>
      </c>
    </row>
    <row r="20" spans="1:6" ht="17" x14ac:dyDescent="0.4">
      <c r="A20" s="1" t="str">
        <f>_xlfn.XLOOKUP(B20,表格1[ID],表格1[Dish])</f>
        <v>焗葡汁白菌豆腐飯</v>
      </c>
      <c r="B20" s="1" t="s">
        <v>208</v>
      </c>
      <c r="C20" s="1" t="s">
        <v>269</v>
      </c>
      <c r="D20" s="1" t="s">
        <v>301</v>
      </c>
      <c r="E20" s="1">
        <v>2</v>
      </c>
      <c r="F20" s="1" t="s">
        <v>394</v>
      </c>
    </row>
    <row r="21" spans="1:6" ht="17" x14ac:dyDescent="0.4">
      <c r="A21" s="1" t="str">
        <f>_xlfn.XLOOKUP(B21,表格1[ID],表格1[Dish])</f>
        <v>焗葡汁白菌豆腐飯</v>
      </c>
      <c r="B21" s="1" t="s">
        <v>208</v>
      </c>
      <c r="C21" s="1" t="s">
        <v>269</v>
      </c>
      <c r="D21" s="1" t="s">
        <v>303</v>
      </c>
      <c r="E21" s="1">
        <v>0.5</v>
      </c>
      <c r="F21" s="1" t="s">
        <v>395</v>
      </c>
    </row>
    <row r="22" spans="1:6" ht="17" x14ac:dyDescent="0.4">
      <c r="A22" s="1" t="str">
        <f>_xlfn.XLOOKUP(B22,表格1[ID],表格1[Dish])</f>
        <v>焗葡汁白菌豆腐飯</v>
      </c>
      <c r="B22" s="1" t="s">
        <v>208</v>
      </c>
      <c r="C22" s="1" t="s">
        <v>269</v>
      </c>
      <c r="D22" s="1" t="s">
        <v>305</v>
      </c>
      <c r="E22" s="1">
        <v>1</v>
      </c>
      <c r="F22" s="1" t="s">
        <v>396</v>
      </c>
    </row>
    <row r="23" spans="1:6" ht="17" x14ac:dyDescent="0.4">
      <c r="A23" s="1" t="str">
        <f>_xlfn.XLOOKUP(B23,表格1[ID],表格1[Dish])</f>
        <v>焗葡汁白菌豆腐飯</v>
      </c>
      <c r="B23" s="1" t="s">
        <v>208</v>
      </c>
      <c r="C23" s="1" t="s">
        <v>269</v>
      </c>
      <c r="D23" s="1" t="s">
        <v>307</v>
      </c>
      <c r="E23" s="1">
        <v>2</v>
      </c>
      <c r="F23" s="1" t="s">
        <v>396</v>
      </c>
    </row>
    <row r="24" spans="1:6" ht="17" x14ac:dyDescent="0.4">
      <c r="A24" s="1" t="str">
        <f>_xlfn.XLOOKUP(B24,表格1[ID],表格1[Dish])</f>
        <v>焗葡汁白菌豆腐飯</v>
      </c>
      <c r="B24" s="1" t="s">
        <v>208</v>
      </c>
      <c r="C24" s="1" t="s">
        <v>269</v>
      </c>
      <c r="D24" s="1" t="s">
        <v>309</v>
      </c>
      <c r="E24" s="1">
        <v>250</v>
      </c>
      <c r="F24" s="1" t="s">
        <v>249</v>
      </c>
    </row>
    <row r="25" spans="1:6" ht="17" x14ac:dyDescent="0.4">
      <c r="A25" s="1" t="str">
        <f>_xlfn.XLOOKUP(B25,表格1[ID],表格1[Dish])</f>
        <v>焗葡汁白菌豆腐飯</v>
      </c>
      <c r="B25" s="1" t="s">
        <v>208</v>
      </c>
      <c r="C25" s="1" t="s">
        <v>269</v>
      </c>
      <c r="D25" s="1" t="s">
        <v>294</v>
      </c>
      <c r="E25" s="1">
        <v>100</v>
      </c>
      <c r="F25" s="1" t="s">
        <v>249</v>
      </c>
    </row>
    <row r="26" spans="1:6" ht="17" x14ac:dyDescent="0.4">
      <c r="A26" s="1" t="str">
        <f>_xlfn.XLOOKUP(B26,表格1[ID],表格1[Dish])</f>
        <v>焗葡汁白菌豆腐飯</v>
      </c>
      <c r="B26" s="1" t="s">
        <v>208</v>
      </c>
      <c r="C26" s="1" t="s">
        <v>269</v>
      </c>
      <c r="D26" s="1" t="s">
        <v>258</v>
      </c>
      <c r="E26" s="1">
        <v>120</v>
      </c>
      <c r="F26" s="1" t="s">
        <v>249</v>
      </c>
    </row>
    <row r="27" spans="1:6" ht="17" x14ac:dyDescent="0.4">
      <c r="A27" s="1" t="str">
        <f>_xlfn.XLOOKUP(B27,表格1[ID],表格1[Dish])</f>
        <v>焗葡汁白菌豆腐飯</v>
      </c>
      <c r="B27" s="1" t="s">
        <v>208</v>
      </c>
      <c r="C27" s="1" t="s">
        <v>269</v>
      </c>
      <c r="D27" s="1" t="s">
        <v>317</v>
      </c>
      <c r="E27" s="1">
        <v>2</v>
      </c>
      <c r="F27" s="1" t="s">
        <v>393</v>
      </c>
    </row>
    <row r="28" spans="1:6" ht="17" x14ac:dyDescent="0.4">
      <c r="A28" s="1" t="str">
        <f>_xlfn.XLOOKUP(B28,表格1[ID],表格1[Dish])</f>
        <v>焗葡汁白菌豆腐飯</v>
      </c>
      <c r="B28" s="1" t="s">
        <v>208</v>
      </c>
      <c r="C28" s="1" t="s">
        <v>269</v>
      </c>
      <c r="D28" s="1" t="s">
        <v>311</v>
      </c>
      <c r="E28" s="1" t="s">
        <v>282</v>
      </c>
      <c r="F28" s="1" t="s">
        <v>241</v>
      </c>
    </row>
    <row r="29" spans="1:6" ht="17" x14ac:dyDescent="0.4">
      <c r="A29" s="1" t="str">
        <f>_xlfn.XLOOKUP(B29,表格1[ID],表格1[Dish])</f>
        <v>焗葡汁白菌豆腐飯</v>
      </c>
      <c r="B29" s="1" t="s">
        <v>208</v>
      </c>
      <c r="C29" s="1" t="s">
        <v>269</v>
      </c>
      <c r="D29" s="1" t="s">
        <v>313</v>
      </c>
      <c r="E29" s="1" t="s">
        <v>397</v>
      </c>
      <c r="F29" s="1" t="s">
        <v>241</v>
      </c>
    </row>
    <row r="30" spans="1:6" ht="17" x14ac:dyDescent="0.4">
      <c r="A30" s="1" t="str">
        <f>_xlfn.XLOOKUP(B30,表格1[ID],表格1[Dish])</f>
        <v>焗葡汁白菌豆腐飯</v>
      </c>
      <c r="B30" s="1" t="s">
        <v>208</v>
      </c>
      <c r="C30" s="1" t="s">
        <v>275</v>
      </c>
      <c r="D30" s="1" t="s">
        <v>244</v>
      </c>
      <c r="E30" s="1">
        <v>0.5</v>
      </c>
      <c r="F30" s="1" t="s">
        <v>396</v>
      </c>
    </row>
    <row r="31" spans="1:6" ht="17" x14ac:dyDescent="0.4">
      <c r="A31" s="1" t="str">
        <f>_xlfn.XLOOKUP(B31,表格1[ID],表格1[Dish])</f>
        <v>焗葡汁白菌豆腐飯</v>
      </c>
      <c r="B31" s="1" t="s">
        <v>208</v>
      </c>
      <c r="C31" s="1" t="s">
        <v>275</v>
      </c>
      <c r="D31" s="1" t="s">
        <v>242</v>
      </c>
      <c r="E31" s="1">
        <v>1.5</v>
      </c>
      <c r="F31" s="1" t="s">
        <v>396</v>
      </c>
    </row>
    <row r="32" spans="1:6" ht="17" x14ac:dyDescent="0.4">
      <c r="A32" s="1" t="str">
        <f>_xlfn.XLOOKUP(B32,表格1[ID],表格1[Dish])</f>
        <v>焗葡汁白菌豆腐飯</v>
      </c>
      <c r="B32" s="1" t="s">
        <v>208</v>
      </c>
      <c r="C32" s="1" t="s">
        <v>269</v>
      </c>
      <c r="D32" s="1" t="s">
        <v>315</v>
      </c>
      <c r="E32" s="1">
        <v>2</v>
      </c>
      <c r="F32" s="1" t="s">
        <v>393</v>
      </c>
    </row>
    <row r="33" spans="1:6" ht="17" x14ac:dyDescent="0.4">
      <c r="A33" s="1" t="str">
        <f>_xlfn.XLOOKUP(B33,表格1[ID],表格1[Dish])</f>
        <v>焗葡汁白菌豆腐飯</v>
      </c>
      <c r="B33" s="1" t="s">
        <v>208</v>
      </c>
      <c r="C33" s="1" t="s">
        <v>275</v>
      </c>
      <c r="D33" s="1" t="s">
        <v>446</v>
      </c>
      <c r="E33" s="1" t="s">
        <v>397</v>
      </c>
      <c r="F33" s="1" t="s">
        <v>241</v>
      </c>
    </row>
    <row r="34" spans="1:6" ht="17" x14ac:dyDescent="0.4">
      <c r="A34" s="1" t="str">
        <f>_xlfn.XLOOKUP(B34,表格1[ID],表格1[Dish])</f>
        <v>焗葡汁白菌豆腐飯</v>
      </c>
      <c r="B34" s="1" t="s">
        <v>208</v>
      </c>
      <c r="C34" s="1" t="s">
        <v>398</v>
      </c>
      <c r="D34" s="1" t="s">
        <v>246</v>
      </c>
      <c r="E34" s="1">
        <v>2</v>
      </c>
      <c r="F34" s="1" t="s">
        <v>396</v>
      </c>
    </row>
    <row r="35" spans="1:6" ht="17" x14ac:dyDescent="0.4">
      <c r="A35" s="1" t="str">
        <f>_xlfn.XLOOKUP(B35,表格1[ID],表格1[Dish])</f>
        <v>焗葡汁白菌豆腐飯</v>
      </c>
      <c r="B35" s="1" t="s">
        <v>208</v>
      </c>
      <c r="C35" s="1" t="s">
        <v>398</v>
      </c>
      <c r="D35" s="1" t="s">
        <v>239</v>
      </c>
      <c r="E35" s="1">
        <v>2</v>
      </c>
      <c r="F35" s="1" t="s">
        <v>393</v>
      </c>
    </row>
    <row r="36" spans="1:6" ht="17" x14ac:dyDescent="0.4">
      <c r="A36" s="1" t="str">
        <f>_xlfn.XLOOKUP(B36,表格1[ID],表格1[Dish])</f>
        <v>素羅宋湯</v>
      </c>
      <c r="B36" s="1" t="s">
        <v>207</v>
      </c>
      <c r="C36" s="1" t="s">
        <v>269</v>
      </c>
      <c r="D36" s="1" t="s">
        <v>319</v>
      </c>
      <c r="E36" s="1">
        <v>3</v>
      </c>
      <c r="F36" s="1" t="s">
        <v>399</v>
      </c>
    </row>
    <row r="37" spans="1:6" ht="17" x14ac:dyDescent="0.4">
      <c r="A37" s="1" t="str">
        <f>_xlfn.XLOOKUP(B37,表格1[ID],表格1[Dish])</f>
        <v>素羅宋湯</v>
      </c>
      <c r="B37" s="1" t="s">
        <v>207</v>
      </c>
      <c r="C37" s="1" t="s">
        <v>269</v>
      </c>
      <c r="D37" s="1" t="s">
        <v>321</v>
      </c>
      <c r="E37" s="1">
        <v>1</v>
      </c>
      <c r="F37" s="1" t="s">
        <v>399</v>
      </c>
    </row>
    <row r="38" spans="1:6" ht="17" x14ac:dyDescent="0.4">
      <c r="A38" s="1" t="str">
        <f>_xlfn.XLOOKUP(B38,表格1[ID],表格1[Dish])</f>
        <v>素羅宋湯</v>
      </c>
      <c r="B38" s="1" t="s">
        <v>207</v>
      </c>
      <c r="C38" s="1" t="s">
        <v>269</v>
      </c>
      <c r="D38" s="1" t="s">
        <v>323</v>
      </c>
      <c r="E38" s="1">
        <v>1</v>
      </c>
      <c r="F38" s="1" t="s">
        <v>400</v>
      </c>
    </row>
    <row r="39" spans="1:6" ht="17" x14ac:dyDescent="0.4">
      <c r="A39" s="1" t="str">
        <f>_xlfn.XLOOKUP(B39,表格1[ID],表格1[Dish])</f>
        <v>素羅宋湯</v>
      </c>
      <c r="B39" s="1" t="s">
        <v>207</v>
      </c>
      <c r="C39" s="1" t="s">
        <v>269</v>
      </c>
      <c r="D39" s="1" t="s">
        <v>325</v>
      </c>
      <c r="E39" s="1">
        <v>0.5</v>
      </c>
      <c r="F39" s="1" t="s">
        <v>399</v>
      </c>
    </row>
    <row r="40" spans="1:6" ht="17" x14ac:dyDescent="0.4">
      <c r="A40" s="1" t="str">
        <f>_xlfn.XLOOKUP(B40,表格1[ID],表格1[Dish])</f>
        <v>素羅宋湯</v>
      </c>
      <c r="B40" s="1" t="s">
        <v>207</v>
      </c>
      <c r="C40" s="1" t="s">
        <v>269</v>
      </c>
      <c r="D40" s="1" t="s">
        <v>326</v>
      </c>
      <c r="E40" s="1">
        <v>0.5</v>
      </c>
      <c r="F40" s="1" t="s">
        <v>395</v>
      </c>
    </row>
    <row r="41" spans="1:6" ht="17" x14ac:dyDescent="0.4">
      <c r="A41" s="1" t="str">
        <f>_xlfn.XLOOKUP(B41,表格1[ID],表格1[Dish])</f>
        <v>素羅宋湯</v>
      </c>
      <c r="B41" s="1" t="s">
        <v>207</v>
      </c>
      <c r="C41" s="1" t="s">
        <v>269</v>
      </c>
      <c r="D41" s="1" t="s">
        <v>315</v>
      </c>
      <c r="E41" s="1">
        <v>2</v>
      </c>
      <c r="F41" s="1" t="s">
        <v>393</v>
      </c>
    </row>
    <row r="42" spans="1:6" ht="17" x14ac:dyDescent="0.4">
      <c r="A42" s="1" t="str">
        <f>_xlfn.XLOOKUP(B42,表格1[ID],表格1[Dish])</f>
        <v>素羅宋湯</v>
      </c>
      <c r="B42" s="1" t="s">
        <v>207</v>
      </c>
      <c r="C42" s="1" t="s">
        <v>269</v>
      </c>
      <c r="D42" s="1" t="s">
        <v>330</v>
      </c>
      <c r="E42" s="1">
        <v>2</v>
      </c>
      <c r="F42" s="1" t="s">
        <v>393</v>
      </c>
    </row>
    <row r="43" spans="1:6" ht="17" x14ac:dyDescent="0.4">
      <c r="A43" s="1" t="str">
        <f>_xlfn.XLOOKUP(B43,表格1[ID],表格1[Dish])</f>
        <v>素羅宋湯</v>
      </c>
      <c r="B43" s="1" t="s">
        <v>207</v>
      </c>
      <c r="C43" s="1" t="s">
        <v>269</v>
      </c>
      <c r="D43" s="1" t="s">
        <v>309</v>
      </c>
      <c r="E43" s="1">
        <v>1</v>
      </c>
      <c r="F43" s="1" t="s">
        <v>401</v>
      </c>
    </row>
    <row r="44" spans="1:6" ht="17" x14ac:dyDescent="0.4">
      <c r="A44" s="1" t="str">
        <f>_xlfn.XLOOKUP(B44,表格1[ID],表格1[Dish])</f>
        <v>素羅宋湯</v>
      </c>
      <c r="B44" s="1" t="s">
        <v>207</v>
      </c>
      <c r="C44" s="1" t="s">
        <v>269</v>
      </c>
      <c r="D44" s="1" t="s">
        <v>239</v>
      </c>
      <c r="E44" s="1">
        <v>2</v>
      </c>
      <c r="F44" s="1" t="s">
        <v>401</v>
      </c>
    </row>
    <row r="45" spans="1:6" ht="17" x14ac:dyDescent="0.4">
      <c r="A45" s="1" t="str">
        <f>_xlfn.XLOOKUP(B45,表格1[ID],表格1[Dish])</f>
        <v>素羅宋湯</v>
      </c>
      <c r="B45" s="1" t="s">
        <v>207</v>
      </c>
      <c r="C45" s="1" t="s">
        <v>275</v>
      </c>
      <c r="D45" s="1" t="s">
        <v>244</v>
      </c>
      <c r="E45" s="1">
        <v>2</v>
      </c>
      <c r="F45" s="1" t="s">
        <v>396</v>
      </c>
    </row>
    <row r="46" spans="1:6" ht="17" x14ac:dyDescent="0.4">
      <c r="A46" s="1" t="str">
        <f>_xlfn.XLOOKUP(B46,表格1[ID],表格1[Dish])</f>
        <v>素羅宋湯</v>
      </c>
      <c r="B46" s="1" t="s">
        <v>207</v>
      </c>
      <c r="C46" s="1" t="s">
        <v>275</v>
      </c>
      <c r="D46" s="1" t="s">
        <v>328</v>
      </c>
      <c r="E46" s="1" t="s">
        <v>397</v>
      </c>
      <c r="F46" s="1" t="s">
        <v>241</v>
      </c>
    </row>
    <row r="47" spans="1:6" ht="17" x14ac:dyDescent="0.4">
      <c r="A47" s="1" t="str">
        <f>_xlfn.XLOOKUP(B47,表格1[ID],表格1[Dish])</f>
        <v>薯仔沙律蛋包</v>
      </c>
      <c r="B47" s="1" t="s">
        <v>206</v>
      </c>
      <c r="C47" s="1" t="s">
        <v>269</v>
      </c>
      <c r="D47" s="1" t="s">
        <v>333</v>
      </c>
      <c r="E47" s="1">
        <v>2</v>
      </c>
      <c r="F47" s="1" t="s">
        <v>399</v>
      </c>
    </row>
    <row r="48" spans="1:6" ht="17" x14ac:dyDescent="0.4">
      <c r="A48" s="1" t="str">
        <f>_xlfn.XLOOKUP(B48,表格1[ID],表格1[Dish])</f>
        <v>薯仔沙律蛋包</v>
      </c>
      <c r="B48" s="1" t="s">
        <v>206</v>
      </c>
      <c r="C48" s="1" t="s">
        <v>269</v>
      </c>
      <c r="D48" s="1" t="s">
        <v>321</v>
      </c>
      <c r="E48" s="1">
        <v>2</v>
      </c>
      <c r="F48" s="1" t="s">
        <v>402</v>
      </c>
    </row>
    <row r="49" spans="1:6" ht="17" x14ac:dyDescent="0.4">
      <c r="A49" s="1" t="str">
        <f>_xlfn.XLOOKUP(B49,表格1[ID],表格1[Dish])</f>
        <v>薯仔沙律蛋包</v>
      </c>
      <c r="B49" s="1" t="s">
        <v>206</v>
      </c>
      <c r="C49" s="1" t="s">
        <v>269</v>
      </c>
      <c r="D49" s="1" t="s">
        <v>229</v>
      </c>
      <c r="E49" s="1">
        <v>1</v>
      </c>
      <c r="F49" s="1" t="s">
        <v>402</v>
      </c>
    </row>
    <row r="50" spans="1:6" ht="17" x14ac:dyDescent="0.4">
      <c r="A50" s="1" t="str">
        <f>_xlfn.XLOOKUP(B50,表格1[ID],表格1[Dish])</f>
        <v>薯仔沙律蛋包</v>
      </c>
      <c r="B50" s="1" t="s">
        <v>206</v>
      </c>
      <c r="C50" s="1" t="s">
        <v>269</v>
      </c>
      <c r="D50" s="1" t="s">
        <v>323</v>
      </c>
      <c r="E50" s="1">
        <v>1</v>
      </c>
      <c r="F50" s="1" t="s">
        <v>393</v>
      </c>
    </row>
    <row r="51" spans="1:6" ht="17" x14ac:dyDescent="0.4">
      <c r="A51" s="1" t="str">
        <f>_xlfn.XLOOKUP(B51,表格1[ID],表格1[Dish])</f>
        <v>薯仔沙律蛋包</v>
      </c>
      <c r="B51" s="1" t="s">
        <v>206</v>
      </c>
      <c r="C51" s="1" t="s">
        <v>269</v>
      </c>
      <c r="D51" s="1" t="s">
        <v>335</v>
      </c>
      <c r="E51" s="1">
        <v>1</v>
      </c>
      <c r="F51" s="1" t="s">
        <v>393</v>
      </c>
    </row>
    <row r="52" spans="1:6" ht="17" x14ac:dyDescent="0.4">
      <c r="A52" s="1" t="str">
        <f>_xlfn.XLOOKUP(B52,表格1[ID],表格1[Dish])</f>
        <v>薯仔沙律蛋包</v>
      </c>
      <c r="B52" s="1" t="s">
        <v>206</v>
      </c>
      <c r="C52" s="1" t="s">
        <v>275</v>
      </c>
      <c r="D52" s="1" t="s">
        <v>242</v>
      </c>
      <c r="E52" s="1" t="s">
        <v>282</v>
      </c>
      <c r="F52" s="1" t="s">
        <v>241</v>
      </c>
    </row>
    <row r="53" spans="1:6" ht="17" x14ac:dyDescent="0.4">
      <c r="A53" s="1" t="str">
        <f>_xlfn.XLOOKUP(B53,表格1[ID],表格1[Dish])</f>
        <v>薯仔沙律蛋包</v>
      </c>
      <c r="B53" s="1" t="s">
        <v>206</v>
      </c>
      <c r="C53" s="1" t="s">
        <v>403</v>
      </c>
      <c r="D53" s="1" t="s">
        <v>337</v>
      </c>
      <c r="E53" s="1">
        <v>2</v>
      </c>
      <c r="F53" s="1" t="s">
        <v>393</v>
      </c>
    </row>
    <row r="54" spans="1:6" ht="17" x14ac:dyDescent="0.4">
      <c r="A54" s="1" t="str">
        <f>_xlfn.XLOOKUP(B54,表格1[ID],表格1[Dish])</f>
        <v>薯仔沙律蛋包</v>
      </c>
      <c r="B54" s="1" t="s">
        <v>206</v>
      </c>
      <c r="C54" s="1" t="s">
        <v>403</v>
      </c>
      <c r="D54" s="1" t="s">
        <v>339</v>
      </c>
      <c r="E54" s="1">
        <v>0.5</v>
      </c>
      <c r="F54" s="1" t="s">
        <v>396</v>
      </c>
    </row>
    <row r="55" spans="1:6" ht="17" x14ac:dyDescent="0.4">
      <c r="A55" s="1" t="str">
        <f>_xlfn.XLOOKUP(B55,表格1[ID],表格1[Dish])</f>
        <v>薯仔沙律蛋包</v>
      </c>
      <c r="B55" s="1" t="s">
        <v>206</v>
      </c>
      <c r="C55" s="1" t="s">
        <v>403</v>
      </c>
      <c r="D55" s="1" t="s">
        <v>341</v>
      </c>
      <c r="E55" s="1">
        <v>1</v>
      </c>
      <c r="F55" s="1" t="s">
        <v>396</v>
      </c>
    </row>
    <row r="56" spans="1:6" x14ac:dyDescent="0.4">
      <c r="A56" s="1" t="str">
        <f>_xlfn.XLOOKUP(B56,表格1[ID],表格1[Dish])</f>
        <v>麻婆豆腐</v>
      </c>
      <c r="B56" s="1" t="s">
        <v>134</v>
      </c>
      <c r="C56" s="1" t="s">
        <v>344</v>
      </c>
      <c r="D56" s="1" t="s">
        <v>346</v>
      </c>
      <c r="E56" s="1">
        <v>100</v>
      </c>
      <c r="F56" s="1" t="s">
        <v>364</v>
      </c>
    </row>
    <row r="57" spans="1:6" ht="17" x14ac:dyDescent="0.4">
      <c r="A57" s="1" t="str">
        <f>_xlfn.XLOOKUP(B57,表格1[ID],表格1[Dish])</f>
        <v>麻婆豆腐</v>
      </c>
      <c r="B57" s="1" t="s">
        <v>134</v>
      </c>
      <c r="C57" s="1" t="s">
        <v>344</v>
      </c>
      <c r="D57" s="1" t="s">
        <v>347</v>
      </c>
      <c r="E57" s="1">
        <v>1</v>
      </c>
      <c r="F57" s="1" t="s">
        <v>404</v>
      </c>
    </row>
    <row r="58" spans="1:6" x14ac:dyDescent="0.4">
      <c r="A58" s="1" t="str">
        <f>_xlfn.XLOOKUP(B58,表格1[ID],表格1[Dish])</f>
        <v>麻婆豆腐</v>
      </c>
      <c r="B58" s="1" t="s">
        <v>134</v>
      </c>
      <c r="C58" s="1" t="s">
        <v>344</v>
      </c>
      <c r="D58" s="1" t="s">
        <v>348</v>
      </c>
      <c r="E58" s="1">
        <v>20</v>
      </c>
      <c r="F58" s="1" t="s">
        <v>364</v>
      </c>
    </row>
    <row r="59" spans="1:6" ht="17" x14ac:dyDescent="0.4">
      <c r="A59" s="1" t="str">
        <f>_xlfn.XLOOKUP(B59,表格1[ID],表格1[Dish])</f>
        <v>麻婆豆腐</v>
      </c>
      <c r="B59" s="1" t="s">
        <v>134</v>
      </c>
      <c r="C59" s="1" t="s">
        <v>405</v>
      </c>
      <c r="D59" s="1" t="s">
        <v>362</v>
      </c>
      <c r="E59" s="1">
        <v>1</v>
      </c>
      <c r="F59" s="1" t="s">
        <v>406</v>
      </c>
    </row>
    <row r="60" spans="1:6" ht="17" x14ac:dyDescent="0.4">
      <c r="A60" s="1" t="str">
        <f>_xlfn.XLOOKUP(B60,表格1[ID],表格1[Dish])</f>
        <v>麻婆豆腐</v>
      </c>
      <c r="B60" s="1" t="s">
        <v>134</v>
      </c>
      <c r="C60" s="1" t="s">
        <v>344</v>
      </c>
      <c r="D60" s="1" t="s">
        <v>349</v>
      </c>
      <c r="E60" s="1">
        <v>1</v>
      </c>
      <c r="F60" s="1" t="s">
        <v>406</v>
      </c>
    </row>
    <row r="61" spans="1:6" ht="17" x14ac:dyDescent="0.4">
      <c r="A61" s="1" t="str">
        <f>_xlfn.XLOOKUP(B61,表格1[ID],表格1[Dish])</f>
        <v>麻婆豆腐</v>
      </c>
      <c r="B61" s="1" t="s">
        <v>134</v>
      </c>
      <c r="C61" s="1" t="s">
        <v>344</v>
      </c>
      <c r="D61" s="1" t="s">
        <v>350</v>
      </c>
      <c r="E61" s="1">
        <v>1</v>
      </c>
      <c r="F61" s="1" t="s">
        <v>406</v>
      </c>
    </row>
    <row r="62" spans="1:6" ht="17" x14ac:dyDescent="0.4">
      <c r="A62" s="1" t="str">
        <f>_xlfn.XLOOKUP(B62,表格1[ID],表格1[Dish])</f>
        <v>麻婆豆腐</v>
      </c>
      <c r="B62" s="1" t="s">
        <v>134</v>
      </c>
      <c r="C62" s="1" t="s">
        <v>345</v>
      </c>
      <c r="D62" s="1" t="s">
        <v>352</v>
      </c>
      <c r="E62" s="1">
        <v>1</v>
      </c>
      <c r="F62" s="1" t="s">
        <v>406</v>
      </c>
    </row>
    <row r="63" spans="1:6" ht="17" x14ac:dyDescent="0.4">
      <c r="A63" s="1" t="str">
        <f>_xlfn.XLOOKUP(B63,表格1[ID],表格1[Dish])</f>
        <v>麻婆豆腐</v>
      </c>
      <c r="B63" s="1" t="s">
        <v>134</v>
      </c>
      <c r="C63" s="1" t="s">
        <v>345</v>
      </c>
      <c r="D63" s="1" t="s">
        <v>353</v>
      </c>
      <c r="E63" s="1">
        <v>1</v>
      </c>
      <c r="F63" s="1" t="s">
        <v>406</v>
      </c>
    </row>
    <row r="64" spans="1:6" ht="17" x14ac:dyDescent="0.4">
      <c r="A64" s="1" t="str">
        <f>_xlfn.XLOOKUP(B64,表格1[ID],表格1[Dish])</f>
        <v>麻婆豆腐</v>
      </c>
      <c r="B64" s="1" t="s">
        <v>134</v>
      </c>
      <c r="C64" s="1" t="s">
        <v>345</v>
      </c>
      <c r="D64" s="1" t="s">
        <v>354</v>
      </c>
      <c r="E64" s="1">
        <v>2</v>
      </c>
      <c r="F64" s="1" t="s">
        <v>393</v>
      </c>
    </row>
    <row r="65" spans="1:6" ht="17" x14ac:dyDescent="0.4">
      <c r="A65" s="1" t="str">
        <f>_xlfn.XLOOKUP(B65,表格1[ID],表格1[Dish])</f>
        <v>麻婆豆腐</v>
      </c>
      <c r="B65" s="1" t="s">
        <v>134</v>
      </c>
      <c r="C65" s="1" t="s">
        <v>344</v>
      </c>
      <c r="D65" s="1" t="s">
        <v>309</v>
      </c>
      <c r="E65" s="1">
        <v>1</v>
      </c>
      <c r="F65" s="1" t="s">
        <v>407</v>
      </c>
    </row>
    <row r="66" spans="1:6" ht="17" x14ac:dyDescent="0.4">
      <c r="A66" s="1" t="str">
        <f>_xlfn.XLOOKUP(B66,表格1[ID],表格1[Dish])</f>
        <v>麻婆豆腐</v>
      </c>
      <c r="B66" s="1" t="s">
        <v>134</v>
      </c>
      <c r="C66" s="1" t="s">
        <v>345</v>
      </c>
      <c r="D66" s="1" t="s">
        <v>355</v>
      </c>
      <c r="E66" s="1">
        <v>1</v>
      </c>
      <c r="F66" s="1" t="s">
        <v>406</v>
      </c>
    </row>
    <row r="67" spans="1:6" ht="17" x14ac:dyDescent="0.4">
      <c r="A67" s="1" t="str">
        <f>_xlfn.XLOOKUP(B67,表格1[ID],表格1[Dish])</f>
        <v>麻婆豆腐</v>
      </c>
      <c r="B67" s="1" t="s">
        <v>134</v>
      </c>
      <c r="C67" s="1" t="s">
        <v>345</v>
      </c>
      <c r="D67" s="1" t="s">
        <v>246</v>
      </c>
      <c r="E67" s="1" t="s">
        <v>408</v>
      </c>
      <c r="F67" s="1" t="s">
        <v>367</v>
      </c>
    </row>
    <row r="68" spans="1:6" ht="17" x14ac:dyDescent="0.4">
      <c r="A68" s="1" t="str">
        <f>_xlfn.XLOOKUP(B68,表格1[ID],表格1[Dish])</f>
        <v>麻婆豆腐</v>
      </c>
      <c r="B68" s="1" t="s">
        <v>134</v>
      </c>
      <c r="C68" s="1" t="s">
        <v>345</v>
      </c>
      <c r="D68" s="1" t="s">
        <v>356</v>
      </c>
      <c r="E68" s="1">
        <v>0.5</v>
      </c>
      <c r="F68" s="1" t="s">
        <v>406</v>
      </c>
    </row>
    <row r="69" spans="1:6" ht="17" x14ac:dyDescent="0.4">
      <c r="A69" s="1" t="str">
        <f>_xlfn.XLOOKUP(B69,表格1[ID],表格1[Dish])</f>
        <v>麻婆豆腐</v>
      </c>
      <c r="B69" s="1" t="s">
        <v>134</v>
      </c>
      <c r="C69" s="1" t="s">
        <v>344</v>
      </c>
      <c r="D69" s="1" t="s">
        <v>357</v>
      </c>
      <c r="E69" s="1">
        <v>1</v>
      </c>
      <c r="F69" s="1" t="s">
        <v>393</v>
      </c>
    </row>
    <row r="70" spans="1:6" ht="17" x14ac:dyDescent="0.4">
      <c r="A70" s="1" t="str">
        <f>_xlfn.XLOOKUP(B70,表格1[ID],表格1[Dish])</f>
        <v>蒜蓉蒸茄子</v>
      </c>
      <c r="B70" s="1" t="s">
        <v>135</v>
      </c>
      <c r="C70" s="1" t="s">
        <v>344</v>
      </c>
      <c r="D70" s="1" t="s">
        <v>361</v>
      </c>
      <c r="E70" s="1">
        <v>1</v>
      </c>
      <c r="F70" s="1" t="s">
        <v>400</v>
      </c>
    </row>
    <row r="71" spans="1:6" ht="17" x14ac:dyDescent="0.4">
      <c r="A71" s="1" t="str">
        <f>_xlfn.XLOOKUP(B71,表格1[ID],表格1[Dish])</f>
        <v>蒜蓉蒸茄子</v>
      </c>
      <c r="B71" s="1" t="s">
        <v>135</v>
      </c>
      <c r="C71" s="1" t="s">
        <v>344</v>
      </c>
      <c r="D71" s="1" t="s">
        <v>350</v>
      </c>
      <c r="E71" s="1">
        <v>0.5</v>
      </c>
      <c r="F71" s="1" t="s">
        <v>399</v>
      </c>
    </row>
    <row r="72" spans="1:6" ht="17" x14ac:dyDescent="0.4">
      <c r="A72" s="1" t="str">
        <f>_xlfn.XLOOKUP(B72,表格1[ID],表格1[Dish])</f>
        <v>蒜蓉蒸茄子</v>
      </c>
      <c r="B72" s="1" t="s">
        <v>135</v>
      </c>
      <c r="C72" s="1" t="s">
        <v>368</v>
      </c>
      <c r="D72" s="1" t="s">
        <v>362</v>
      </c>
      <c r="E72" s="1">
        <v>1</v>
      </c>
      <c r="F72" s="1" t="s">
        <v>400</v>
      </c>
    </row>
    <row r="73" spans="1:6" ht="17" x14ac:dyDescent="0.4">
      <c r="A73" s="1" t="str">
        <f>_xlfn.XLOOKUP(B73,表格1[ID],表格1[Dish])</f>
        <v>蒜蓉蒸茄子</v>
      </c>
      <c r="B73" s="1" t="s">
        <v>135</v>
      </c>
      <c r="C73" s="1" t="s">
        <v>345</v>
      </c>
      <c r="D73" s="1" t="s">
        <v>244</v>
      </c>
      <c r="E73" s="1">
        <v>0.5</v>
      </c>
      <c r="F73" s="2" t="s">
        <v>250</v>
      </c>
    </row>
    <row r="74" spans="1:6" ht="17" x14ac:dyDescent="0.4">
      <c r="A74" s="1" t="str">
        <f>_xlfn.XLOOKUP(B74,表格1[ID],表格1[Dish])</f>
        <v>蒜蓉蒸茄子</v>
      </c>
      <c r="B74" s="1" t="s">
        <v>135</v>
      </c>
      <c r="C74" s="1" t="s">
        <v>345</v>
      </c>
      <c r="D74" s="1" t="s">
        <v>246</v>
      </c>
      <c r="E74" s="1">
        <v>1</v>
      </c>
      <c r="F74" s="2" t="s">
        <v>250</v>
      </c>
    </row>
    <row r="75" spans="1:6" ht="17" x14ac:dyDescent="0.4">
      <c r="A75" s="1" t="str">
        <f>_xlfn.XLOOKUP(B75,表格1[ID],表格1[Dish])</f>
        <v>蒜蓉蒸茄子</v>
      </c>
      <c r="B75" s="1" t="s">
        <v>135</v>
      </c>
      <c r="C75" s="1" t="s">
        <v>345</v>
      </c>
      <c r="D75" s="1" t="s">
        <v>359</v>
      </c>
      <c r="E75" s="1">
        <v>0.5</v>
      </c>
      <c r="F75" s="2" t="s">
        <v>250</v>
      </c>
    </row>
    <row r="76" spans="1:6" ht="17" x14ac:dyDescent="0.4">
      <c r="A76" s="1" t="str">
        <f>_xlfn.XLOOKUP(B76,表格1[ID],表格1[Dish])</f>
        <v>蒜蓉蒸茄子</v>
      </c>
      <c r="B76" s="1" t="s">
        <v>135</v>
      </c>
      <c r="C76" s="1" t="s">
        <v>345</v>
      </c>
      <c r="D76" s="1" t="s">
        <v>446</v>
      </c>
      <c r="E76" s="1" t="s">
        <v>408</v>
      </c>
      <c r="F76" s="1" t="s">
        <v>367</v>
      </c>
    </row>
    <row r="77" spans="1:6" ht="17" x14ac:dyDescent="0.4">
      <c r="A77" s="1" t="str">
        <f>_xlfn.XLOOKUP(B77,表格1[ID],表格1[Dish])</f>
        <v>金銀蛋菠菜</v>
      </c>
      <c r="B77" s="1" t="s">
        <v>136</v>
      </c>
      <c r="C77" s="1" t="s">
        <v>344</v>
      </c>
      <c r="D77" s="1" t="s">
        <v>413</v>
      </c>
      <c r="E77" s="1">
        <v>2</v>
      </c>
      <c r="F77" s="2" t="s">
        <v>230</v>
      </c>
    </row>
    <row r="78" spans="1:6" ht="17" x14ac:dyDescent="0.4">
      <c r="A78" s="1" t="str">
        <f>_xlfn.XLOOKUP(B78,表格1[ID],表格1[Dish])</f>
        <v>金銀蛋菠菜</v>
      </c>
      <c r="B78" s="1" t="s">
        <v>136</v>
      </c>
      <c r="C78" s="1" t="s">
        <v>344</v>
      </c>
      <c r="D78" s="1" t="s">
        <v>415</v>
      </c>
      <c r="E78" s="1">
        <v>2</v>
      </c>
      <c r="F78" s="2" t="s">
        <v>230</v>
      </c>
    </row>
    <row r="79" spans="1:6" x14ac:dyDescent="0.4">
      <c r="A79" s="1" t="str">
        <f>_xlfn.XLOOKUP(B79,表格1[ID],表格1[Dish])</f>
        <v>金銀蛋菠菜</v>
      </c>
      <c r="B79" s="1" t="s">
        <v>136</v>
      </c>
      <c r="C79" s="1" t="s">
        <v>344</v>
      </c>
      <c r="D79" s="1" t="s">
        <v>309</v>
      </c>
      <c r="E79" s="1">
        <v>500</v>
      </c>
      <c r="F79" s="1" t="s">
        <v>249</v>
      </c>
    </row>
    <row r="80" spans="1:6" ht="17" x14ac:dyDescent="0.4">
      <c r="A80" s="1" t="str">
        <f>_xlfn.XLOOKUP(B80,表格1[ID],表格1[Dish])</f>
        <v>金銀蛋菠菜</v>
      </c>
      <c r="B80" s="1" t="s">
        <v>136</v>
      </c>
      <c r="C80" s="1" t="s">
        <v>344</v>
      </c>
      <c r="D80" s="1" t="s">
        <v>417</v>
      </c>
      <c r="E80" s="1">
        <v>1</v>
      </c>
      <c r="F80" s="2" t="s">
        <v>421</v>
      </c>
    </row>
    <row r="81" spans="1:6" ht="17" x14ac:dyDescent="0.4">
      <c r="A81" s="1" t="str">
        <f>_xlfn.XLOOKUP(B81,表格1[ID],表格1[Dish])</f>
        <v>金銀蛋菠菜</v>
      </c>
      <c r="B81" s="1" t="s">
        <v>136</v>
      </c>
      <c r="C81" s="1" t="s">
        <v>344</v>
      </c>
      <c r="D81" s="1" t="s">
        <v>419</v>
      </c>
      <c r="E81" s="1">
        <v>4</v>
      </c>
      <c r="F81" s="2" t="s">
        <v>422</v>
      </c>
    </row>
    <row r="82" spans="1:6" ht="17" x14ac:dyDescent="0.4">
      <c r="A82" s="1" t="str">
        <f>_xlfn.XLOOKUP(B82,表格1[ID],表格1[Dish])</f>
        <v>薑葱焗桶蠔</v>
      </c>
      <c r="B82" s="1" t="s">
        <v>138</v>
      </c>
      <c r="C82" s="1" t="s">
        <v>344</v>
      </c>
      <c r="D82" s="1" t="s">
        <v>425</v>
      </c>
      <c r="E82" s="1">
        <v>1</v>
      </c>
      <c r="F82" s="2" t="s">
        <v>433</v>
      </c>
    </row>
    <row r="83" spans="1:6" ht="17" x14ac:dyDescent="0.4">
      <c r="A83" s="1" t="str">
        <f>_xlfn.XLOOKUP(B83,表格1[ID],表格1[Dish])</f>
        <v>薑葱焗桶蠔</v>
      </c>
      <c r="B83" s="1" t="s">
        <v>138</v>
      </c>
      <c r="C83" s="1" t="s">
        <v>344</v>
      </c>
      <c r="D83" s="1" t="s">
        <v>362</v>
      </c>
      <c r="E83" s="1">
        <v>4</v>
      </c>
      <c r="F83" s="2" t="s">
        <v>332</v>
      </c>
    </row>
    <row r="84" spans="1:6" ht="17" x14ac:dyDescent="0.4">
      <c r="A84" s="1" t="str">
        <f>_xlfn.XLOOKUP(B84,表格1[ID],表格1[Dish])</f>
        <v>薑葱焗桶蠔</v>
      </c>
      <c r="B84" s="1" t="s">
        <v>138</v>
      </c>
      <c r="C84" s="1" t="s">
        <v>344</v>
      </c>
      <c r="D84" s="1" t="s">
        <v>427</v>
      </c>
      <c r="E84" s="1">
        <v>8</v>
      </c>
      <c r="F84" s="2" t="s">
        <v>434</v>
      </c>
    </row>
    <row r="85" spans="1:6" ht="17" x14ac:dyDescent="0.4">
      <c r="A85" s="1" t="str">
        <f>_xlfn.XLOOKUP(B85,表格1[ID],表格1[Dish])</f>
        <v>薑葱焗桶蠔</v>
      </c>
      <c r="B85" s="1" t="s">
        <v>138</v>
      </c>
      <c r="C85" s="1" t="s">
        <v>344</v>
      </c>
      <c r="D85" s="1" t="s">
        <v>419</v>
      </c>
      <c r="E85" s="1">
        <v>4</v>
      </c>
      <c r="F85" s="2" t="s">
        <v>422</v>
      </c>
    </row>
    <row r="86" spans="1:6" ht="17" x14ac:dyDescent="0.4">
      <c r="A86" s="1" t="str">
        <f>_xlfn.XLOOKUP(B86,表格1[ID],表格1[Dish])</f>
        <v>薑葱焗桶蠔</v>
      </c>
      <c r="B86" s="1" t="s">
        <v>138</v>
      </c>
      <c r="C86" s="1" t="s">
        <v>345</v>
      </c>
      <c r="D86" s="1" t="s">
        <v>429</v>
      </c>
      <c r="E86" s="1">
        <v>1</v>
      </c>
      <c r="F86" s="2" t="s">
        <v>298</v>
      </c>
    </row>
    <row r="87" spans="1:6" ht="17" x14ac:dyDescent="0.4">
      <c r="A87" s="1" t="str">
        <f>_xlfn.XLOOKUP(B87,表格1[ID],表格1[Dish])</f>
        <v>薑葱焗桶蠔</v>
      </c>
      <c r="B87" s="1" t="s">
        <v>138</v>
      </c>
      <c r="C87" s="1" t="s">
        <v>345</v>
      </c>
      <c r="D87" s="1" t="s">
        <v>446</v>
      </c>
      <c r="E87" s="1">
        <v>0.5</v>
      </c>
      <c r="F87" s="2" t="s">
        <v>298</v>
      </c>
    </row>
    <row r="88" spans="1:6" ht="17" x14ac:dyDescent="0.4">
      <c r="A88" s="1" t="str">
        <f>_xlfn.XLOOKUP(B88,表格1[ID],表格1[Dish])</f>
        <v>薑葱焗桶蠔</v>
      </c>
      <c r="B88" s="1" t="s">
        <v>138</v>
      </c>
      <c r="C88" s="1" t="s">
        <v>345</v>
      </c>
      <c r="D88" s="1" t="s">
        <v>244</v>
      </c>
      <c r="E88" s="1">
        <v>0.5</v>
      </c>
      <c r="F88" s="2" t="s">
        <v>250</v>
      </c>
    </row>
    <row r="89" spans="1:6" ht="17" x14ac:dyDescent="0.4">
      <c r="A89" s="1" t="str">
        <f>_xlfn.XLOOKUP(B89,表格1[ID],表格1[Dish])</f>
        <v>薑葱焗桶蠔</v>
      </c>
      <c r="B89" s="1" t="s">
        <v>138</v>
      </c>
      <c r="C89" s="1" t="s">
        <v>345</v>
      </c>
      <c r="D89" s="1" t="s">
        <v>246</v>
      </c>
      <c r="E89" s="1">
        <v>5</v>
      </c>
      <c r="F89" s="2" t="s">
        <v>298</v>
      </c>
    </row>
    <row r="90" spans="1:6" ht="17" x14ac:dyDescent="0.4">
      <c r="A90" s="1" t="str">
        <f>_xlfn.XLOOKUP(B90,表格1[ID],表格1[Dish])</f>
        <v>薑葱焗桶蠔</v>
      </c>
      <c r="B90" s="1" t="s">
        <v>138</v>
      </c>
      <c r="C90" s="1" t="s">
        <v>345</v>
      </c>
      <c r="D90" s="1" t="s">
        <v>242</v>
      </c>
      <c r="E90" s="1" t="s">
        <v>408</v>
      </c>
      <c r="F90" s="1" t="s">
        <v>367</v>
      </c>
    </row>
    <row r="91" spans="1:6" x14ac:dyDescent="0.4">
      <c r="A91" s="1" t="str">
        <f>_xlfn.XLOOKUP(B91,表格1[ID],表格1[Dish])</f>
        <v>薑葱焗桶蠔</v>
      </c>
      <c r="B91" s="1" t="s">
        <v>138</v>
      </c>
      <c r="C91" s="1" t="s">
        <v>345</v>
      </c>
      <c r="D91" s="1" t="s">
        <v>431</v>
      </c>
      <c r="E91" s="1">
        <v>1</v>
      </c>
      <c r="F91" s="1" t="s">
        <v>298</v>
      </c>
    </row>
    <row r="92" spans="1:6" ht="17" x14ac:dyDescent="0.4">
      <c r="A92" s="1" t="str">
        <f>_xlfn.XLOOKUP(B92,表格1[ID],表格1[Dish])</f>
        <v>薑葱焗桶蠔</v>
      </c>
      <c r="B92" s="1" t="s">
        <v>138</v>
      </c>
      <c r="C92" s="1" t="s">
        <v>345</v>
      </c>
      <c r="D92" s="1" t="s">
        <v>356</v>
      </c>
      <c r="E92" s="1">
        <v>2</v>
      </c>
      <c r="F92" s="2" t="s">
        <v>467</v>
      </c>
    </row>
    <row r="93" spans="1:6" x14ac:dyDescent="0.4">
      <c r="A93" s="1" t="str">
        <f>_xlfn.XLOOKUP(B93,表格1[ID],表格1[Dish])</f>
        <v>土匪雞翼</v>
      </c>
      <c r="B93" s="1" t="s">
        <v>139</v>
      </c>
      <c r="C93" s="1" t="s">
        <v>344</v>
      </c>
      <c r="D93" s="1" t="s">
        <v>436</v>
      </c>
      <c r="E93" s="1">
        <v>0.5</v>
      </c>
      <c r="F93" s="1" t="s">
        <v>448</v>
      </c>
    </row>
    <row r="94" spans="1:6" ht="17" x14ac:dyDescent="0.4">
      <c r="A94" s="1" t="str">
        <f>_xlfn.XLOOKUP(B94,表格1[ID],表格1[Dish])</f>
        <v>土匪雞翼</v>
      </c>
      <c r="B94" s="1" t="s">
        <v>139</v>
      </c>
      <c r="C94" s="1" t="s">
        <v>368</v>
      </c>
      <c r="D94" s="1" t="s">
        <v>438</v>
      </c>
      <c r="E94" s="1" t="s">
        <v>408</v>
      </c>
      <c r="F94" s="1" t="s">
        <v>367</v>
      </c>
    </row>
    <row r="95" spans="1:6" x14ac:dyDescent="0.4">
      <c r="A95" s="1" t="str">
        <f>_xlfn.XLOOKUP(B95,表格1[ID],表格1[Dish])</f>
        <v>土匪雞翼</v>
      </c>
      <c r="B95" s="1" t="s">
        <v>139</v>
      </c>
      <c r="C95" s="1" t="s">
        <v>345</v>
      </c>
      <c r="D95" s="1" t="s">
        <v>446</v>
      </c>
      <c r="E95" s="1">
        <v>3</v>
      </c>
      <c r="F95" s="1" t="s">
        <v>365</v>
      </c>
    </row>
    <row r="96" spans="1:6" x14ac:dyDescent="0.4">
      <c r="A96" s="1" t="str">
        <f>_xlfn.XLOOKUP(B96,表格1[ID],表格1[Dish])</f>
        <v>土匪雞翼</v>
      </c>
      <c r="B96" s="1" t="s">
        <v>139</v>
      </c>
      <c r="C96" s="1" t="s">
        <v>345</v>
      </c>
      <c r="D96" s="1" t="s">
        <v>359</v>
      </c>
      <c r="E96" s="1">
        <v>1</v>
      </c>
      <c r="F96" s="1" t="s">
        <v>365</v>
      </c>
    </row>
    <row r="97" spans="1:6" x14ac:dyDescent="0.4">
      <c r="A97" s="1" t="str">
        <f>_xlfn.XLOOKUP(B97,表格1[ID],表格1[Dish])</f>
        <v>土匪雞翼</v>
      </c>
      <c r="B97" s="1" t="s">
        <v>139</v>
      </c>
      <c r="C97" s="1" t="s">
        <v>345</v>
      </c>
      <c r="D97" s="1" t="s">
        <v>440</v>
      </c>
      <c r="E97" s="1">
        <v>1</v>
      </c>
      <c r="F97" s="1" t="s">
        <v>365</v>
      </c>
    </row>
    <row r="98" spans="1:6" x14ac:dyDescent="0.4">
      <c r="A98" s="1" t="str">
        <f>_xlfn.XLOOKUP(B98,表格1[ID],表格1[Dish])</f>
        <v>土匪雞翼</v>
      </c>
      <c r="B98" s="1" t="s">
        <v>139</v>
      </c>
      <c r="C98" s="1" t="s">
        <v>345</v>
      </c>
      <c r="D98" s="1" t="s">
        <v>244</v>
      </c>
      <c r="E98" s="1">
        <v>1</v>
      </c>
      <c r="F98" s="1" t="s">
        <v>365</v>
      </c>
    </row>
    <row r="99" spans="1:6" x14ac:dyDescent="0.4">
      <c r="A99" s="1" t="str">
        <f>_xlfn.XLOOKUP(B99,表格1[ID],表格1[Dish])</f>
        <v>土匪雞翼</v>
      </c>
      <c r="B99" s="1" t="s">
        <v>139</v>
      </c>
      <c r="C99" s="1" t="s">
        <v>345</v>
      </c>
      <c r="D99" s="1" t="s">
        <v>442</v>
      </c>
      <c r="E99" s="1">
        <v>2</v>
      </c>
      <c r="F99" s="1" t="s">
        <v>365</v>
      </c>
    </row>
    <row r="100" spans="1:6" x14ac:dyDescent="0.4">
      <c r="A100" s="1" t="str">
        <f>_xlfn.XLOOKUP(B100,表格1[ID],表格1[Dish])</f>
        <v>土匪雞翼</v>
      </c>
      <c r="B100" s="1" t="s">
        <v>139</v>
      </c>
      <c r="C100" s="1" t="s">
        <v>345</v>
      </c>
      <c r="D100" s="1" t="s">
        <v>353</v>
      </c>
      <c r="E100" s="1">
        <v>1</v>
      </c>
      <c r="F100" s="1" t="s">
        <v>365</v>
      </c>
    </row>
    <row r="101" spans="1:6" ht="17" x14ac:dyDescent="0.4">
      <c r="A101" s="1" t="str">
        <f>_xlfn.XLOOKUP(B101,表格1[ID],表格1[Dish])</f>
        <v>土匪雞翼</v>
      </c>
      <c r="B101" s="1" t="s">
        <v>139</v>
      </c>
      <c r="C101" s="1" t="s">
        <v>345</v>
      </c>
      <c r="D101" s="1" t="s">
        <v>444</v>
      </c>
      <c r="E101" s="1">
        <v>2</v>
      </c>
      <c r="F101" s="2" t="s">
        <v>250</v>
      </c>
    </row>
    <row r="102" spans="1:6" ht="17" x14ac:dyDescent="0.4">
      <c r="A102" s="1" t="str">
        <f>_xlfn.XLOOKUP(B102,表格1[ID],表格1[Dish])</f>
        <v>涼伴雲耳</v>
      </c>
      <c r="B102" s="1" t="s">
        <v>140</v>
      </c>
      <c r="C102" s="1" t="s">
        <v>344</v>
      </c>
      <c r="D102" s="1" t="s">
        <v>461</v>
      </c>
      <c r="E102">
        <v>1</v>
      </c>
      <c r="F102" t="s">
        <v>468</v>
      </c>
    </row>
    <row r="103" spans="1:6" ht="17" x14ac:dyDescent="0.4">
      <c r="A103" s="1" t="str">
        <f>_xlfn.XLOOKUP(B103,表格1[ID],表格1[Dish])</f>
        <v>涼伴雲耳</v>
      </c>
      <c r="B103" s="1" t="s">
        <v>140</v>
      </c>
      <c r="C103" s="1" t="s">
        <v>345</v>
      </c>
      <c r="D103" s="1" t="s">
        <v>446</v>
      </c>
      <c r="E103">
        <v>1</v>
      </c>
      <c r="F103" t="s">
        <v>369</v>
      </c>
    </row>
    <row r="104" spans="1:6" ht="17" x14ac:dyDescent="0.4">
      <c r="A104" s="1" t="str">
        <f>_xlfn.XLOOKUP(B104,表格1[ID],表格1[Dish])</f>
        <v>涼伴雲耳</v>
      </c>
      <c r="B104" s="1" t="s">
        <v>140</v>
      </c>
      <c r="C104" s="1" t="s">
        <v>345</v>
      </c>
      <c r="D104" s="1" t="s">
        <v>463</v>
      </c>
      <c r="E104">
        <v>1</v>
      </c>
      <c r="F104" t="s">
        <v>369</v>
      </c>
    </row>
    <row r="105" spans="1:6" ht="17" x14ac:dyDescent="0.4">
      <c r="A105" s="1" t="str">
        <f>_xlfn.XLOOKUP(B105,表格1[ID],表格1[Dish])</f>
        <v>涼伴雲耳</v>
      </c>
      <c r="B105" s="1" t="s">
        <v>140</v>
      </c>
      <c r="C105" s="1" t="s">
        <v>345</v>
      </c>
      <c r="D105" s="1" t="s">
        <v>354</v>
      </c>
      <c r="E105">
        <v>1</v>
      </c>
      <c r="F105" t="s">
        <v>369</v>
      </c>
    </row>
    <row r="106" spans="1:6" ht="17" x14ac:dyDescent="0.4">
      <c r="A106" s="1" t="str">
        <f>_xlfn.XLOOKUP(B106,表格1[ID],表格1[Dish])</f>
        <v>涼伴雲耳</v>
      </c>
      <c r="B106" s="1" t="s">
        <v>140</v>
      </c>
      <c r="C106" s="1" t="s">
        <v>345</v>
      </c>
      <c r="D106" s="1" t="s">
        <v>244</v>
      </c>
      <c r="E106">
        <v>1</v>
      </c>
      <c r="F106" t="s">
        <v>369</v>
      </c>
    </row>
    <row r="107" spans="1:6" ht="17" x14ac:dyDescent="0.4">
      <c r="A107" s="1" t="str">
        <f>_xlfn.XLOOKUP(B107,表格1[ID],表格1[Dish])</f>
        <v>涼伴雲耳</v>
      </c>
      <c r="B107" s="1" t="s">
        <v>140</v>
      </c>
      <c r="C107" s="1" t="s">
        <v>345</v>
      </c>
      <c r="D107" s="1" t="s">
        <v>350</v>
      </c>
      <c r="E107">
        <v>1</v>
      </c>
      <c r="F107" t="s">
        <v>369</v>
      </c>
    </row>
    <row r="108" spans="1:6" ht="17" x14ac:dyDescent="0.4">
      <c r="A108" s="1" t="str">
        <f>_xlfn.XLOOKUP(B108,表格1[ID],表格1[Dish])</f>
        <v>涼伴雲耳</v>
      </c>
      <c r="B108" s="1" t="s">
        <v>140</v>
      </c>
      <c r="C108" s="1" t="s">
        <v>345</v>
      </c>
      <c r="D108" s="1" t="s">
        <v>429</v>
      </c>
      <c r="E108">
        <v>1</v>
      </c>
      <c r="F108" t="s">
        <v>369</v>
      </c>
    </row>
    <row r="109" spans="1:6" ht="17" x14ac:dyDescent="0.4">
      <c r="A109" s="1" t="str">
        <f>_xlfn.XLOOKUP(B109,表格1[ID],表格1[Dish])</f>
        <v>涼伴雲耳</v>
      </c>
      <c r="B109" s="1" t="s">
        <v>140</v>
      </c>
      <c r="C109" s="1" t="s">
        <v>345</v>
      </c>
      <c r="D109" s="1" t="s">
        <v>356</v>
      </c>
      <c r="E109">
        <v>1</v>
      </c>
      <c r="F109" t="s">
        <v>369</v>
      </c>
    </row>
    <row r="110" spans="1:6" ht="17" x14ac:dyDescent="0.4">
      <c r="A110" s="1" t="str">
        <f>_xlfn.XLOOKUP(B110,表格1[ID],表格1[Dish])</f>
        <v>涼伴雲耳</v>
      </c>
      <c r="B110" s="1" t="s">
        <v>140</v>
      </c>
      <c r="C110" s="1" t="s">
        <v>345</v>
      </c>
      <c r="D110" s="1" t="s">
        <v>357</v>
      </c>
      <c r="E110" t="s">
        <v>366</v>
      </c>
      <c r="F110" t="s">
        <v>367</v>
      </c>
    </row>
    <row r="111" spans="1:6" ht="17" x14ac:dyDescent="0.4">
      <c r="A111" s="1" t="str">
        <f>_xlfn.XLOOKUP(B111,表格1[ID],表格1[Dish])</f>
        <v>醬燒豆腐</v>
      </c>
      <c r="B111" s="1" t="s">
        <v>700</v>
      </c>
      <c r="C111" s="1" t="s">
        <v>344</v>
      </c>
      <c r="D111" s="1" t="s">
        <v>702</v>
      </c>
      <c r="E111" s="1">
        <v>1</v>
      </c>
      <c r="F111" s="2" t="s">
        <v>704</v>
      </c>
    </row>
    <row r="112" spans="1:6" ht="17" x14ac:dyDescent="0.4">
      <c r="A112" s="1" t="str">
        <f>_xlfn.XLOOKUP(B112,表格1[ID],表格1[Dish])</f>
        <v>醬燒豆腐</v>
      </c>
      <c r="B112" s="1" t="s">
        <v>700</v>
      </c>
      <c r="C112" s="1" t="s">
        <v>345</v>
      </c>
      <c r="D112" s="1" t="s">
        <v>244</v>
      </c>
      <c r="E112" s="1">
        <v>1</v>
      </c>
      <c r="F112" s="2" t="s">
        <v>250</v>
      </c>
    </row>
    <row r="113" spans="1:6" ht="17" x14ac:dyDescent="0.4">
      <c r="A113" s="1" t="str">
        <f>_xlfn.XLOOKUP(B113,表格1[ID],表格1[Dish])</f>
        <v>醬燒豆腐</v>
      </c>
      <c r="B113" s="1" t="s">
        <v>700</v>
      </c>
      <c r="C113" s="1" t="s">
        <v>345</v>
      </c>
      <c r="D113" s="1" t="s">
        <v>446</v>
      </c>
      <c r="E113" s="1">
        <v>2</v>
      </c>
      <c r="F113" s="2" t="s">
        <v>250</v>
      </c>
    </row>
    <row r="114" spans="1:6" ht="17" x14ac:dyDescent="0.4">
      <c r="A114" s="1" t="str">
        <f>_xlfn.XLOOKUP(B114,表格1[ID],表格1[Dish])</f>
        <v>醬燒豆腐</v>
      </c>
      <c r="B114" s="1" t="s">
        <v>700</v>
      </c>
      <c r="C114" s="1" t="s">
        <v>345</v>
      </c>
      <c r="D114" s="1" t="s">
        <v>239</v>
      </c>
      <c r="E114" s="1">
        <v>1</v>
      </c>
      <c r="F114" s="2" t="s">
        <v>298</v>
      </c>
    </row>
    <row r="115" spans="1:6" ht="17" x14ac:dyDescent="0.4">
      <c r="A115" s="1" t="str">
        <f>_xlfn.XLOOKUP(B115,表格1[ID],表格1[Dish])</f>
        <v>蒜香蒸豬五花高麗菜</v>
      </c>
      <c r="B115" s="1" t="s">
        <v>734</v>
      </c>
      <c r="C115" s="1" t="s">
        <v>344</v>
      </c>
      <c r="D115" s="1" t="s">
        <v>861</v>
      </c>
      <c r="E115" s="1">
        <v>0.25</v>
      </c>
      <c r="F115" s="2" t="s">
        <v>862</v>
      </c>
    </row>
    <row r="116" spans="1:6" x14ac:dyDescent="0.4">
      <c r="A116" s="1" t="str">
        <f>_xlfn.XLOOKUP(B116,表格1[ID],表格1[Dish])</f>
        <v>蒜香蒸豬五花高麗菜</v>
      </c>
      <c r="B116" s="1" t="s">
        <v>734</v>
      </c>
      <c r="C116" s="1" t="s">
        <v>344</v>
      </c>
      <c r="D116" s="1" t="s">
        <v>863</v>
      </c>
      <c r="E116" s="1">
        <v>200</v>
      </c>
      <c r="F116" s="1" t="s">
        <v>286</v>
      </c>
    </row>
    <row r="117" spans="1:6" ht="17" x14ac:dyDescent="0.4">
      <c r="A117" s="1" t="str">
        <f>_xlfn.XLOOKUP(B117,表格1[ID],表格1[Dish])</f>
        <v>蒜香蒸豬五花高麗菜</v>
      </c>
      <c r="B117" s="1" t="s">
        <v>734</v>
      </c>
      <c r="C117" s="1" t="s">
        <v>344</v>
      </c>
      <c r="D117" s="1" t="s">
        <v>419</v>
      </c>
      <c r="E117" s="1">
        <v>2</v>
      </c>
      <c r="F117" s="2" t="s">
        <v>422</v>
      </c>
    </row>
    <row r="118" spans="1:6" ht="17" x14ac:dyDescent="0.4">
      <c r="A118" s="1" t="str">
        <f>_xlfn.XLOOKUP(B118,表格1[ID],表格1[Dish])</f>
        <v>蒜香蒸豬五花高麗菜</v>
      </c>
      <c r="B118" s="1" t="s">
        <v>734</v>
      </c>
      <c r="C118" s="1" t="s">
        <v>345</v>
      </c>
      <c r="D118" s="1" t="s">
        <v>446</v>
      </c>
      <c r="E118" s="1">
        <v>1</v>
      </c>
      <c r="F118" s="2" t="s">
        <v>298</v>
      </c>
    </row>
    <row r="119" spans="1:6" ht="17" x14ac:dyDescent="0.4">
      <c r="A119" s="1" t="str">
        <f>_xlfn.XLOOKUP(B119,表格1[ID],表格1[Dish])</f>
        <v>蒜香蒸豬五花高麗菜</v>
      </c>
      <c r="B119" s="1" t="s">
        <v>734</v>
      </c>
      <c r="C119" s="1" t="s">
        <v>345</v>
      </c>
      <c r="D119" s="1" t="s">
        <v>865</v>
      </c>
      <c r="E119" s="1">
        <v>1</v>
      </c>
      <c r="F119" s="2" t="s">
        <v>298</v>
      </c>
    </row>
    <row r="120" spans="1:6" ht="17" x14ac:dyDescent="0.4">
      <c r="A120" s="1" t="str">
        <f>_xlfn.XLOOKUP(B120,表格1[ID],表格1[Dish])</f>
        <v>蒜香蒸豬五花高麗菜</v>
      </c>
      <c r="B120" s="1" t="s">
        <v>734</v>
      </c>
      <c r="C120" s="1" t="s">
        <v>345</v>
      </c>
      <c r="D120" s="1" t="s">
        <v>867</v>
      </c>
      <c r="E120" s="1">
        <v>1</v>
      </c>
      <c r="F120" s="2" t="s">
        <v>250</v>
      </c>
    </row>
    <row r="121" spans="1:6" ht="17" x14ac:dyDescent="0.4">
      <c r="A121" s="1" t="str">
        <f>_xlfn.XLOOKUP(B121,表格1[ID],表格1[Dish])</f>
        <v>蒜香蒸豬五花高麗菜</v>
      </c>
      <c r="B121" s="1" t="s">
        <v>734</v>
      </c>
      <c r="C121" s="1" t="s">
        <v>345</v>
      </c>
      <c r="D121" s="1" t="s">
        <v>244</v>
      </c>
      <c r="E121" s="1">
        <v>2</v>
      </c>
      <c r="F121" s="2" t="s">
        <v>250</v>
      </c>
    </row>
    <row r="122" spans="1:6" ht="17" x14ac:dyDescent="0.4">
      <c r="A122" s="1" t="str">
        <f>_xlfn.XLOOKUP(B122,表格1[ID],表格1[Dish])</f>
        <v>蒜香蒸豬五花高麗菜</v>
      </c>
      <c r="B122" s="1" t="s">
        <v>734</v>
      </c>
      <c r="C122" s="1" t="s">
        <v>345</v>
      </c>
      <c r="D122" s="1" t="s">
        <v>431</v>
      </c>
      <c r="E122" s="2" t="s">
        <v>874</v>
      </c>
      <c r="F122" s="2" t="s">
        <v>875</v>
      </c>
    </row>
    <row r="123" spans="1:6" x14ac:dyDescent="0.4">
      <c r="A123" s="21" t="str">
        <f>_xlfn.XLOOKUP(B123,表格1[ID],表格1[Dish])</f>
        <v>豆腐肉捲</v>
      </c>
      <c r="B123" s="1" t="s">
        <v>737</v>
      </c>
      <c r="C123" s="1" t="s">
        <v>344</v>
      </c>
      <c r="D123" s="1" t="s">
        <v>879</v>
      </c>
      <c r="E123" s="1">
        <v>200</v>
      </c>
      <c r="F123" s="1" t="s">
        <v>286</v>
      </c>
    </row>
    <row r="124" spans="1:6" ht="17" x14ac:dyDescent="0.4">
      <c r="A124" s="21" t="str">
        <f>_xlfn.XLOOKUP(B124,表格1[ID],表格1[Dish])</f>
        <v>豆腐肉捲</v>
      </c>
      <c r="B124" s="1" t="s">
        <v>737</v>
      </c>
      <c r="C124" s="1" t="s">
        <v>344</v>
      </c>
      <c r="D124" s="1" t="s">
        <v>881</v>
      </c>
      <c r="E124" s="1">
        <v>2</v>
      </c>
      <c r="F124" s="2" t="s">
        <v>883</v>
      </c>
    </row>
    <row r="125" spans="1:6" ht="17" x14ac:dyDescent="0.4">
      <c r="A125" s="21" t="str">
        <f>_xlfn.XLOOKUP(B125,表格1[ID],表格1[Dish])</f>
        <v>豆腐肉捲</v>
      </c>
      <c r="B125" s="1" t="s">
        <v>737</v>
      </c>
      <c r="C125" s="1" t="s">
        <v>345</v>
      </c>
      <c r="D125" s="1" t="s">
        <v>446</v>
      </c>
      <c r="E125" s="1">
        <v>1.5</v>
      </c>
      <c r="F125" s="2" t="s">
        <v>298</v>
      </c>
    </row>
    <row r="126" spans="1:6" ht="17" x14ac:dyDescent="0.4">
      <c r="A126" s="21" t="str">
        <f>_xlfn.XLOOKUP(B126,表格1[ID],表格1[Dish])</f>
        <v>豆腐肉捲</v>
      </c>
      <c r="B126" s="1" t="s">
        <v>737</v>
      </c>
      <c r="C126" s="1" t="s">
        <v>345</v>
      </c>
      <c r="D126" s="1" t="s">
        <v>884</v>
      </c>
      <c r="E126" s="1">
        <v>1</v>
      </c>
      <c r="F126" s="2" t="s">
        <v>298</v>
      </c>
    </row>
    <row r="127" spans="1:6" ht="17" x14ac:dyDescent="0.4">
      <c r="A127" s="21" t="str">
        <f>_xlfn.XLOOKUP(B127,表格1[ID],表格1[Dish])</f>
        <v>豆腐肉捲</v>
      </c>
      <c r="B127" s="1" t="s">
        <v>737</v>
      </c>
      <c r="C127" s="1" t="s">
        <v>345</v>
      </c>
      <c r="D127" s="1" t="s">
        <v>244</v>
      </c>
      <c r="E127" s="1">
        <v>1</v>
      </c>
      <c r="F127" s="2" t="s">
        <v>250</v>
      </c>
    </row>
    <row r="128" spans="1:6" x14ac:dyDescent="0.4">
      <c r="A128" s="21" t="str">
        <f>_xlfn.XLOOKUP(B128,表格1[ID],表格1[Dish])</f>
        <v>豆腐肉捲</v>
      </c>
      <c r="B128" s="1" t="s">
        <v>737</v>
      </c>
      <c r="C128" s="1" t="s">
        <v>345</v>
      </c>
      <c r="D128" s="1" t="s">
        <v>239</v>
      </c>
      <c r="E128" s="1">
        <v>50</v>
      </c>
      <c r="F128" s="1" t="s">
        <v>249</v>
      </c>
    </row>
  </sheetData>
  <phoneticPr fontId="2"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94A8E99-0786-4C0C-BDAA-C2E4BEB200D7}">
          <x14:formula1>
            <xm:f>材料庫!$A:$A</xm:f>
          </x14:formula1>
          <xm:sqref>D1:D1048576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47E3D-8CBE-4470-86D8-478F6834C272}">
  <dimension ref="A1:G60"/>
  <sheetViews>
    <sheetView topLeftCell="A46" workbookViewId="0">
      <selection activeCell="A61" sqref="A61"/>
    </sheetView>
  </sheetViews>
  <sheetFormatPr defaultRowHeight="15.5" x14ac:dyDescent="0.4"/>
  <cols>
    <col min="1" max="1" width="21.81640625" style="1" bestFit="1" customWidth="1"/>
    <col min="2" max="3" width="8.7265625" style="1"/>
    <col min="4" max="4" width="97.1796875" style="1" bestFit="1" customWidth="1"/>
    <col min="5" max="5" width="57.54296875" style="1" customWidth="1"/>
    <col min="6" max="6" width="53.6328125" style="1" customWidth="1"/>
    <col min="7" max="7" width="56.54296875" style="1" customWidth="1"/>
    <col min="8" max="16384" width="8.7265625" style="1"/>
  </cols>
  <sheetData>
    <row r="1" spans="1:7" ht="17" x14ac:dyDescent="0.4">
      <c r="A1" s="23" t="s">
        <v>873</v>
      </c>
      <c r="B1" s="8" t="s">
        <v>264</v>
      </c>
      <c r="C1" s="8" t="s">
        <v>287</v>
      </c>
      <c r="D1" s="8" t="s">
        <v>288</v>
      </c>
      <c r="E1" s="8" t="s">
        <v>870</v>
      </c>
      <c r="F1" s="8" t="s">
        <v>871</v>
      </c>
      <c r="G1" s="8" t="s">
        <v>872</v>
      </c>
    </row>
    <row r="2" spans="1:7" ht="17" x14ac:dyDescent="0.4">
      <c r="A2" s="22" t="str">
        <f>_xlfn.XLOOKUP(B2,表格1[ID],表格1[Dish])</f>
        <v>椰青木瓜果凍</v>
      </c>
      <c r="B2" s="1" t="s">
        <v>217</v>
      </c>
      <c r="C2" s="1">
        <v>1</v>
      </c>
      <c r="D2" s="1" t="s">
        <v>289</v>
      </c>
      <c r="E2" s="1" t="str">
        <f>_xlfn.TRANSLATE(Steps[[#This Row],[內容]],"zh-cht","en")</f>
        <v>Cut the papaya in half, remove the seeds in the middle, and make a papaya cup</v>
      </c>
      <c r="F2" s="1" t="str">
        <f>_xlfn.TRANSLATE(Steps[[#This Row],[內容]],"zh-cht","fil")</f>
        <v>Hatiin ang papaya sa gitna, alisin ang mga buto sa gitna, at gumawa ng tasa ng papaya</v>
      </c>
      <c r="G2" s="1" t="str">
        <f>_xlfn.TRANSLATE(Steps[[#This Row],[內容]],"zh-cht","id")</f>
        <v>Belah pepaya menjadi dua, keluarkan biji di tengah, dan buat cangkir pepaya</v>
      </c>
    </row>
    <row r="3" spans="1:7" ht="17" x14ac:dyDescent="0.4">
      <c r="A3" s="22" t="str">
        <f>_xlfn.XLOOKUP(B3,表格1[ID],表格1[Dish])</f>
        <v>椰青木瓜果凍</v>
      </c>
      <c r="B3" s="1" t="s">
        <v>217</v>
      </c>
      <c r="C3" s="1">
        <v>2</v>
      </c>
      <c r="D3" s="1" t="s">
        <v>376</v>
      </c>
      <c r="E3" s="1" t="str">
        <f>_xlfn.TRANSLATE(Steps[[#This Row],[內容]],"zh-cht","en")</f>
        <v>Mix the coconut water, coconut milk, milk, and sugar, add the vegetable powder, cook until the sugar dissolves, then let cool</v>
      </c>
      <c r="F3" s="1" t="str">
        <f>_xlfn.TRANSLATE(Steps[[#This Row],[內容]],"zh-cht","fil")</f>
        <v>Haluin ang tubig ng niyog, gatas ng niyog, gatas, at asukal, idagdag ang pulbos ng gulay, lutuin hanggang matunaw ang asukal, pagkatapos ay palamigin</v>
      </c>
      <c r="G3" s="1" t="str">
        <f>_xlfn.TRANSLATE(Steps[[#This Row],[內容]],"zh-cht","id")</f>
        <v>Campur air kelapa, santan, susu, dan gula, tambahkan bubuk sayuran, masak sampai gula larut, lalu biarkan dingin</v>
      </c>
    </row>
    <row r="4" spans="1:7" ht="17" x14ac:dyDescent="0.4">
      <c r="A4" s="22" t="str">
        <f>_xlfn.XLOOKUP(B4,表格1[ID],表格1[Dish])</f>
        <v>椰青木瓜果凍</v>
      </c>
      <c r="B4" s="1" t="s">
        <v>217</v>
      </c>
      <c r="C4" s="1">
        <v>3</v>
      </c>
      <c r="D4" s="1" t="s">
        <v>377</v>
      </c>
      <c r="E4" s="1" t="str">
        <f>_xlfn.TRANSLATE(Steps[[#This Row],[內容]],"zh-cht","en")</f>
        <v>Pour into a papaya cup and refrigerate until set</v>
      </c>
      <c r="F4" s="1" t="str">
        <f>_xlfn.TRANSLATE(Steps[[#This Row],[內容]],"zh-cht","fil")</f>
        <v>Ibuhos sa isang tasa ng papaya at ilagay sa refrigerator hanggang tumigas</v>
      </c>
      <c r="G4" s="1" t="str">
        <f>_xlfn.TRANSLATE(Steps[[#This Row],[內容]],"zh-cht","id")</f>
        <v>Tuang ke dalam cangkir pepaya dan simpan di kulkas hingga mengeras</v>
      </c>
    </row>
    <row r="5" spans="1:7" ht="17" x14ac:dyDescent="0.4">
      <c r="A5" s="22" t="str">
        <f>_xlfn.XLOOKUP(B5,表格1[ID],表格1[Dish])</f>
        <v>椰青木瓜果凍</v>
      </c>
      <c r="B5" s="1" t="s">
        <v>217</v>
      </c>
      <c r="C5" s="1">
        <v>4</v>
      </c>
      <c r="D5" s="1" t="s">
        <v>378</v>
      </c>
      <c r="E5" s="1" t="str">
        <f>_xlfn.TRANSLATE(Steps[[#This Row],[內容]],"zh-cht","en")</f>
        <v>When eating, just cut it into small pieces</v>
      </c>
      <c r="F5" s="1" t="str">
        <f>_xlfn.TRANSLATE(Steps[[#This Row],[內容]],"zh-cht","fil")</f>
        <v>Kapag kumakain, hiwain lang ito sa maliliit na piraso</v>
      </c>
      <c r="G5" s="1" t="str">
        <f>_xlfn.TRANSLATE(Steps[[#This Row],[內容]],"zh-cht","id")</f>
        <v>Saat makan, cukup potong menjadi potongan kecil</v>
      </c>
    </row>
    <row r="6" spans="1:7" ht="17" x14ac:dyDescent="0.4">
      <c r="A6" s="22" t="str">
        <f>_xlfn.XLOOKUP(B6,表格1[ID],表格1[Dish])</f>
        <v>紫薯布甸</v>
      </c>
      <c r="B6" s="1" t="s">
        <v>209</v>
      </c>
      <c r="C6" s="1">
        <v>1</v>
      </c>
      <c r="D6" s="1" t="s">
        <v>299</v>
      </c>
      <c r="E6" s="1" t="str">
        <f>_xlfn.TRANSLATE(Steps[[#This Row],[內容]],"zh-cht","en")</f>
        <v>Steam, peel the purple-fleshed sweet potatoes, and mash them with a knife</v>
      </c>
      <c r="F6" s="1" t="str">
        <f>_xlfn.TRANSLATE(Steps[[#This Row],[內容]],"zh-cht","fil")</f>
        <v>I-steam, balatan ang mga kamote na may lila na laman, at durugin gamit ang kutsilyo</v>
      </c>
      <c r="G6" s="1" t="str">
        <f>_xlfn.TRANSLATE(Steps[[#This Row],[內容]],"zh-cht","id")</f>
        <v>Kukus, kupas ubi jalar berisi ungu, lalu tumbuk dengan pisau</v>
      </c>
    </row>
    <row r="7" spans="1:7" ht="17" x14ac:dyDescent="0.4">
      <c r="A7" s="22" t="str">
        <f>_xlfn.XLOOKUP(B7,表格1[ID],表格1[Dish])</f>
        <v>紫薯布甸</v>
      </c>
      <c r="B7" s="1" t="s">
        <v>209</v>
      </c>
      <c r="C7" s="1">
        <v>2</v>
      </c>
      <c r="D7" s="1" t="s">
        <v>379</v>
      </c>
      <c r="E7" s="1" t="str">
        <f>_xlfn.TRANSLATE(Steps[[#This Row],[內容]],"zh-cht","en")</f>
        <v>Add 150ML of milk to the purple sweet potato puree, then put it in a blender and mix well</v>
      </c>
      <c r="F7" s="1" t="str">
        <f>_xlfn.TRANSLATE(Steps[[#This Row],[內容]],"zh-cht","fil")</f>
        <v>Idagdag ang 150ML ng gatas sa purple sweet potato puree, pagkatapos ilagay sa blender at haluin nang mabuti</v>
      </c>
      <c r="G7" s="1" t="str">
        <f>_xlfn.TRANSLATE(Steps[[#This Row],[內容]],"zh-cht","id")</f>
        <v>Tambahkan 150ML susu ke pure ubi jalar ungu, lalu masukkan ke blender dan aduk rata</v>
      </c>
    </row>
    <row r="8" spans="1:7" ht="17" x14ac:dyDescent="0.4">
      <c r="A8" s="22" t="str">
        <f>_xlfn.XLOOKUP(B8,表格1[ID],表格1[Dish])</f>
        <v>紫薯布甸</v>
      </c>
      <c r="B8" s="1" t="s">
        <v>209</v>
      </c>
      <c r="C8" s="1">
        <v>3</v>
      </c>
      <c r="D8" s="1" t="s">
        <v>300</v>
      </c>
      <c r="E8" s="1" t="str">
        <f>_xlfn.TRANSLATE(Steps[[#This Row],[內容]],"zh-cht","en")</f>
        <v>Put the remaining milk and cream into a pot and heat over low heat, then add sugar and konjac powder, stirring slowly until completely dissolved</v>
      </c>
      <c r="F8" s="1" t="str">
        <f>_xlfn.TRANSLATE(Steps[[#This Row],[內容]],"zh-cht","fil")</f>
        <v>Ilagay ang natitirang gatas at cream sa palayok at painitin sa mababang init, pagkatapos ay magdagdag ng asukal at konjac powder, dahan-dahang haluin hanggang tuluyang matunaw</v>
      </c>
      <c r="G8" s="1" t="str">
        <f>_xlfn.TRANSLATE(Steps[[#This Row],[內容]],"zh-cht","id")</f>
        <v>Masukkan sisa susu dan krim ke dalam panci dan panaskan dengan api kecil, lalu tambahkan gula dan bubuk konjac, aduk perlahan hingga benar-benar larut</v>
      </c>
    </row>
    <row r="9" spans="1:7" ht="17" x14ac:dyDescent="0.4">
      <c r="A9" s="22" t="str">
        <f>_xlfn.XLOOKUP(B9,表格1[ID],表格1[Dish])</f>
        <v>紫薯布甸</v>
      </c>
      <c r="B9" s="1" t="s">
        <v>209</v>
      </c>
      <c r="C9" s="1">
        <v>4</v>
      </c>
      <c r="D9" s="1" t="s">
        <v>380</v>
      </c>
      <c r="E9" s="1" t="str">
        <f>_xlfn.TRANSLATE(Steps[[#This Row],[內容]],"zh-cht","en")</f>
        <v>After dissolving, gradually add small amounts into the purple sweet potato puree until evenly combined</v>
      </c>
      <c r="F9" s="1" t="str">
        <f>_xlfn.TRANSLATE(Steps[[#This Row],[內容]],"zh-cht","fil")</f>
        <v>Pagkatapos matunaw, dahan-dahang idagdag ang kaunting dami sa purple sweet potato puree hanggang pantay-pantay ang paghahalo</v>
      </c>
      <c r="G9" s="1" t="str">
        <f>_xlfn.TRANSLATE(Steps[[#This Row],[內容]],"zh-cht","id")</f>
        <v>Setelah larut, tambahkan sedikit ke dalam puree ubi jalar ungu hingga tercampur rata</v>
      </c>
    </row>
    <row r="10" spans="1:7" ht="17" x14ac:dyDescent="0.4">
      <c r="A10" s="22" t="str">
        <f>_xlfn.XLOOKUP(B10,表格1[ID],表格1[Dish])</f>
        <v>紫薯布甸</v>
      </c>
      <c r="B10" s="1" t="s">
        <v>209</v>
      </c>
      <c r="C10" s="1">
        <v>5</v>
      </c>
      <c r="D10" s="1" t="s">
        <v>381</v>
      </c>
      <c r="E10" s="1" t="str">
        <f>_xlfn.TRANSLATE(Steps[[#This Row],[內容]],"zh-cht","en")</f>
        <v>Finally, pour it into a pudding cup, close the lid, and refrigerate until set</v>
      </c>
      <c r="F10" s="1" t="str">
        <f>_xlfn.TRANSLATE(Steps[[#This Row],[內容]],"zh-cht","fil")</f>
        <v>Sa huli, ibuhos ito sa pudding cup, isara ang takip, at ilagay sa refrigerator hanggang tumigas</v>
      </c>
      <c r="G10" s="1" t="str">
        <f>_xlfn.TRANSLATE(Steps[[#This Row],[內容]],"zh-cht","id")</f>
        <v>Terakhir, tuangkan ke dalam cangkir puding, tutup tutupnya, dan simpan di kulkas hingga mengeras</v>
      </c>
    </row>
    <row r="11" spans="1:7" ht="17" x14ac:dyDescent="0.4">
      <c r="A11" s="22" t="str">
        <f>_xlfn.XLOOKUP(B11,表格1[ID],表格1[Dish])</f>
        <v>焗葡汁白菌豆腐飯</v>
      </c>
      <c r="B11" s="1" t="s">
        <v>208</v>
      </c>
      <c r="C11" s="1">
        <v>1</v>
      </c>
      <c r="D11" s="1" t="s">
        <v>382</v>
      </c>
      <c r="E11" s="1" t="str">
        <f>_xlfn.TRANSLATE(Steps[[#This Row],[內容]],"zh-cht","en")</f>
        <v>Cut the tofu into cubes, fry until golden brown, then set aside</v>
      </c>
      <c r="F11" s="1" t="str">
        <f>_xlfn.TRANSLATE(Steps[[#This Row],[內容]],"zh-cht","fil")</f>
        <v>Hiwain ang tofu sa mga cube, igisa hanggang maging golden brown, pagkatapos ay itabi</v>
      </c>
      <c r="G11" s="1" t="str">
        <f>_xlfn.TRANSLATE(Steps[[#This Row],[內容]],"zh-cht","id")</f>
        <v>Potong tahu menjadi dadu dadu, goreng hingga keemasan, lalu sisihkan</v>
      </c>
    </row>
    <row r="12" spans="1:7" ht="17" x14ac:dyDescent="0.4">
      <c r="A12" s="22" t="str">
        <f>_xlfn.XLOOKUP(B12,表格1[ID],表格1[Dish])</f>
        <v>焗葡汁白菌豆腐飯</v>
      </c>
      <c r="B12" s="1" t="s">
        <v>208</v>
      </c>
      <c r="C12" s="1">
        <v>2</v>
      </c>
      <c r="D12" s="1" t="s">
        <v>383</v>
      </c>
      <c r="E12" s="1" t="str">
        <f>_xlfn.TRANSLATE(Steps[[#This Row],[內容]],"zh-cht","en")</f>
        <v>Heat a wok over medium heat, add butter, and once melted, add turmeric powder and curry powder and stir-fry until fragrant. Add the superior broth, bring to a boil, then add milk and cream, season with salt and sugar</v>
      </c>
      <c r="F12" s="1" t="str">
        <f>_xlfn.TRANSLATE(Steps[[#This Row],[內容]],"zh-cht","fil")</f>
        <v>Painitin ang wok sa katamtamang init, magdagdag ng mantikilya, at kapag natunaw, idagdag ang turmeric powder at curry powder at igisa hanggang mabango. Idagdag ang superior na sabaw, pakuluan, pagkatapos ay magdagdag ng gatas at cream, timplahan ng asin at asukal</v>
      </c>
      <c r="G12" s="1" t="str">
        <f>_xlfn.TRANSLATE(Steps[[#This Row],[內容]],"zh-cht","id")</f>
        <v>Panaskan wajan di atas api sedang, tambahkan mentega, dan setelah meleleh, tambahkan bubuk kunyit dan bubuk kari lalu tumis hingga harum. Tambahkan kaldu superior, didihkan, lalu tambahkan susu dan krim, bumbui dengan garam dan gula</v>
      </c>
    </row>
    <row r="13" spans="1:7" ht="17" x14ac:dyDescent="0.4">
      <c r="A13" s="22" t="str">
        <f>_xlfn.XLOOKUP(B13,表格1[ID],表格1[Dish])</f>
        <v>焗葡汁白菌豆腐飯</v>
      </c>
      <c r="B13" s="1" t="s">
        <v>208</v>
      </c>
      <c r="C13" s="1">
        <v>3</v>
      </c>
      <c r="D13" s="1" t="s">
        <v>384</v>
      </c>
      <c r="E13" s="1" t="str">
        <f>_xlfn.TRANSLATE(Steps[[#This Row],[內容]],"zh-cht","en")</f>
        <v>Finally, add tofu, slice white mushrooms and coconut milk, then add thickened sauce and cook until thickened</v>
      </c>
      <c r="F13" s="1" t="str">
        <f>_xlfn.TRANSLATE(Steps[[#This Row],[內容]],"zh-cht","fil")</f>
        <v>Sa huli, idagdag ang tofu, hiwain ang puting kabute at gatas ng niyog, pagkatapos ay lagyan ng malapot na sarsa at lutuin hanggang lumapot</v>
      </c>
      <c r="G13" s="1" t="str">
        <f>_xlfn.TRANSLATE(Steps[[#This Row],[內容]],"zh-cht","id")</f>
        <v>Terakhir, tambahkan tahu, iris jamur putih dan santan, lalu tambahkan saus kental dan masak hingga kental</v>
      </c>
    </row>
    <row r="14" spans="1:7" ht="17" x14ac:dyDescent="0.4">
      <c r="A14" s="22" t="str">
        <f>_xlfn.XLOOKUP(B14,表格1[ID],表格1[Dish])</f>
        <v>焗葡汁白菌豆腐飯</v>
      </c>
      <c r="B14" s="1" t="s">
        <v>208</v>
      </c>
      <c r="C14" s="1">
        <v>4</v>
      </c>
      <c r="D14" s="1" t="s">
        <v>385</v>
      </c>
      <c r="E14" s="1" t="str">
        <f>_xlfn.TRANSLATE(Steps[[#This Row],[內容]],"zh-cht","en")</f>
        <v>Place the white rice on a baking dish, then pour the cooked tofu over the rice surface and sprinkle some cheese</v>
      </c>
      <c r="F14" s="1" t="str">
        <f>_xlfn.TRANSLATE(Steps[[#This Row],[內容]],"zh-cht","fil")</f>
        <v>Ilagay ang puting kanin sa isang baking dish, pagkatapos ibuhos ang nilutong tofu sa ibabaw ng kanin at budburan ng kaunting keso</v>
      </c>
      <c r="G14" s="1" t="str">
        <f>_xlfn.TRANSLATE(Steps[[#This Row],[內容]],"zh-cht","id")</f>
        <v>Letakkan nasi putih di atas loyang, lalu tuangkan tahu yang sudah matang di atas permukaan nasi dan taburi sedikit keju</v>
      </c>
    </row>
    <row r="15" spans="1:7" ht="17" x14ac:dyDescent="0.4">
      <c r="A15" s="22" t="str">
        <f>_xlfn.XLOOKUP(B15,表格1[ID],表格1[Dish])</f>
        <v>焗葡汁白菌豆腐飯</v>
      </c>
      <c r="B15" s="1" t="s">
        <v>208</v>
      </c>
      <c r="C15" s="1">
        <v>5</v>
      </c>
      <c r="D15" s="1" t="s">
        <v>386</v>
      </c>
      <c r="E15" s="1" t="str">
        <f>_xlfn.TRANSLATE(Steps[[#This Row],[內容]],"zh-cht","en")</f>
        <v>Preheat the oven to 200°C and bake for about 5-8 minutes to finish</v>
      </c>
      <c r="F15" s="1" t="str">
        <f>_xlfn.TRANSLATE(Steps[[#This Row],[內容]],"zh-cht","fil")</f>
        <v>Painitin ang oven sa 200°C at i-bake ng mga 5-8 minuto para matapos</v>
      </c>
      <c r="G15" s="1" t="str">
        <f>_xlfn.TRANSLATE(Steps[[#This Row],[內容]],"zh-cht","id")</f>
        <v>Panaskan oven pada suhu 200°C dan panggang selama sekitar 5-8 menit untuk selesai</v>
      </c>
    </row>
    <row r="16" spans="1:7" ht="17" x14ac:dyDescent="0.4">
      <c r="A16" s="22" t="str">
        <f>_xlfn.XLOOKUP(B16,表格1[ID],表格1[Dish])</f>
        <v>素羅宋湯</v>
      </c>
      <c r="B16" s="1" t="s">
        <v>207</v>
      </c>
      <c r="C16" s="1">
        <v>1</v>
      </c>
      <c r="D16" s="1" t="s">
        <v>387</v>
      </c>
      <c r="E16" s="1" t="str">
        <f>_xlfn.TRANSLATE(Steps[[#This Row],[內容]],"zh-cht","en")</f>
        <v>After boiling water, add the diced potatoes, diced carrots, peeled and diced tomatoes, and simmer over medium heat</v>
      </c>
      <c r="F16" s="1" t="str">
        <f>_xlfn.TRANSLATE(Steps[[#This Row],[內容]],"zh-cht","fil")</f>
        <v>Pagkatapos pakuluan ang tubig, idagdag ang diced na patatas, diced carrots, balatan at diced na kamatis, at pakuluan sa katamtamang init</v>
      </c>
      <c r="G16" s="1" t="str">
        <f>_xlfn.TRANSLATE(Steps[[#This Row],[內容]],"zh-cht","id")</f>
        <v>Setelah air direbus, tambahkan kentang dadu, wortel dadu, tomat yang dikupas dan dipotong dadu, lalu didihkan dengan api sedang</v>
      </c>
    </row>
    <row r="17" spans="1:7" ht="17" x14ac:dyDescent="0.4">
      <c r="A17" s="22" t="str">
        <f>_xlfn.XLOOKUP(B17,表格1[ID],表格1[Dish])</f>
        <v>素羅宋湯</v>
      </c>
      <c r="B17" s="1" t="s">
        <v>207</v>
      </c>
      <c r="C17" s="1">
        <v>2</v>
      </c>
      <c r="D17" s="1" t="s">
        <v>388</v>
      </c>
      <c r="E17" s="1" t="str">
        <f>_xlfn.TRANSLATE(Steps[[#This Row],[內容]],"zh-cht","en")</f>
        <v>Melt beef fat in a skillet, add thinly sliced mushrooms, and stir-fry until cooked</v>
      </c>
      <c r="F17" s="1" t="str">
        <f>_xlfn.TRANSLATE(Steps[[#This Row],[內容]],"zh-cht","fil")</f>
        <v>Tunawin ang taba ng baka sa kawali, idagdag ang manipis na hiniwang kabute, at igisa hanggang maluto</v>
      </c>
      <c r="G17" s="1" t="str">
        <f>_xlfn.TRANSLATE(Steps[[#This Row],[內容]],"zh-cht","id")</f>
        <v>Lelehkan lemak sapi di wajan, tambahkan jamur iris tipis, dan tumis sampai matang</v>
      </c>
    </row>
    <row r="18" spans="1:7" ht="17" x14ac:dyDescent="0.4">
      <c r="A18" s="22" t="str">
        <f>_xlfn.XLOOKUP(B18,表格1[ID],表格1[Dish])</f>
        <v>素羅宋湯</v>
      </c>
      <c r="B18" s="1" t="s">
        <v>207</v>
      </c>
      <c r="C18" s="1">
        <v>3</v>
      </c>
      <c r="D18" s="1" t="s">
        <v>389</v>
      </c>
      <c r="E18" s="1" t="str">
        <f>_xlfn.TRANSLATE(Steps[[#This Row],[內容]],"zh-cht","en")</f>
        <v>Put the cooked mushrooms into the soup pot</v>
      </c>
      <c r="F18" s="1" t="str">
        <f>_xlfn.TRANSLATE(Steps[[#This Row],[內容]],"zh-cht","fil")</f>
        <v>Ilagay ang nilutong kabute sa palayok ng sopas</v>
      </c>
      <c r="G18" s="1" t="str">
        <f>_xlfn.TRANSLATE(Steps[[#This Row],[內容]],"zh-cht","id")</f>
        <v>Masukkan jamur yang sudah matang ke dalam panci sup</v>
      </c>
    </row>
    <row r="19" spans="1:7" ht="17" x14ac:dyDescent="0.4">
      <c r="A19" s="22" t="str">
        <f>_xlfn.XLOOKUP(B19,表格1[ID],表格1[Dish])</f>
        <v>素羅宋湯</v>
      </c>
      <c r="B19" s="1" t="s">
        <v>207</v>
      </c>
      <c r="C19" s="1">
        <v>4</v>
      </c>
      <c r="D19" s="1" t="s">
        <v>372</v>
      </c>
      <c r="E19" s="1" t="str">
        <f>_xlfn.TRANSLATE(Steps[[#This Row],[內容]],"zh-cht","en")</f>
        <v>Add cabbage, tomato paste, and superior broth. Bring to a boil over medium heat, then simmer on low for 50 minutes. After cooking, add sugar and pepper before serving</v>
      </c>
      <c r="F19" s="1" t="str">
        <f>_xlfn.TRANSLATE(Steps[[#This Row],[內容]],"zh-cht","fil")</f>
        <v>Idagdag ang repolyo, tomato paste, at superior broth. Pakuluan sa katamtamang init, pagkatapos ay pakuluan sa mababang init ng 50 minuto. Pagkatapos lutuin, magdagdag ng asukal at paminta bago ihain</v>
      </c>
      <c r="G19" s="1" t="str">
        <f>_xlfn.TRANSLATE(Steps[[#This Row],[內容]],"zh-cht","id")</f>
        <v>Tambahkan kubis, pasta tomat, dan kaldu superior. Didihkan dengan api sedang, lalu didihkan dengan api kecil selama 50 menit. Setelah memasak, tambahkan gula dan lada sebelum disajikan</v>
      </c>
    </row>
    <row r="20" spans="1:7" ht="17" x14ac:dyDescent="0.4">
      <c r="A20" s="22" t="str">
        <f>_xlfn.XLOOKUP(B20,表格1[ID],表格1[Dish])</f>
        <v>薯仔沙律蛋包</v>
      </c>
      <c r="B20" s="1" t="s">
        <v>206</v>
      </c>
      <c r="C20" s="1">
        <v>1</v>
      </c>
      <c r="D20" s="1" t="s">
        <v>373</v>
      </c>
      <c r="E20" s="1" t="str">
        <f>_xlfn.TRANSLATE(Steps[[#This Row],[內容]],"zh-cht","en")</f>
        <v>After boiling the eggs, chop them. Blanch the broccoli and carrot, then add a little salt and mix the sauce well</v>
      </c>
      <c r="F20" s="1" t="str">
        <f>_xlfn.TRANSLATE(Steps[[#This Row],[內容]],"zh-cht","fil")</f>
        <v>Pagkatapos pakuluan ang mga itlog, tadtarin ang mga ito. I-blanch ang broccoli at karot, pagkatapos ay magdagdag ng kaunting asin at haluin nang mabuti ang sarsa</v>
      </c>
      <c r="G20" s="1" t="str">
        <f>_xlfn.TRANSLATE(Steps[[#This Row],[內容]],"zh-cht","id")</f>
        <v>Setelah telur direbus, cincang. Rebus brokoli dan wortel, lalu tambahkan sedikit garam dan aduk saus rata</v>
      </c>
    </row>
    <row r="21" spans="1:7" ht="17" x14ac:dyDescent="0.4">
      <c r="A21" s="22" t="str">
        <f>_xlfn.XLOOKUP(B21,表格1[ID],表格1[Dish])</f>
        <v>薯仔沙律蛋包</v>
      </c>
      <c r="B21" s="1" t="s">
        <v>206</v>
      </c>
      <c r="C21" s="1">
        <v>2</v>
      </c>
      <c r="D21" s="1" t="s">
        <v>374</v>
      </c>
      <c r="E21" s="1" t="str">
        <f>_xlfn.TRANSLATE(Steps[[#This Row],[內容]],"zh-cht","en")</f>
        <v>Peel and slice the potatoes thinly, steam until cooked, mash, then add chopped egg, broccoli, carrot, and sauce</v>
      </c>
      <c r="F21" s="1" t="str">
        <f>_xlfn.TRANSLATE(Steps[[#This Row],[內容]],"zh-cht","fil")</f>
        <v>Balatan at hiwain nang manipis ang patatas, i-steam hanggang maluto, durugin, pagkatapos ay idagdag ang tinadtad na itlog, broccoli, karot, at sarsa</v>
      </c>
      <c r="G21" s="1" t="str">
        <f>_xlfn.TRANSLATE(Steps[[#This Row],[內容]],"zh-cht","id")</f>
        <v>Kupas dan iris tipis kentang, kukus sampai matang, tumbukkan, lalu tambahkan telur cincang, brokoli, wortel, dan saus</v>
      </c>
    </row>
    <row r="22" spans="1:7" ht="17" x14ac:dyDescent="0.4">
      <c r="A22" s="22" t="str">
        <f>_xlfn.XLOOKUP(B22,表格1[ID],表格1[Dish])</f>
        <v>薯仔沙律蛋包</v>
      </c>
      <c r="B22" s="1" t="s">
        <v>206</v>
      </c>
      <c r="C22" s="1">
        <v>3</v>
      </c>
      <c r="D22" s="1" t="s">
        <v>375</v>
      </c>
      <c r="E22" s="1" t="str">
        <f>_xlfn.TRANSLATE(Steps[[#This Row],[內容]],"zh-cht","en")</f>
        <v>Place it in a pre-cut dinner bag to finish</v>
      </c>
      <c r="F22" s="1" t="str">
        <f>_xlfn.TRANSLATE(Steps[[#This Row],[內容]],"zh-cht","fil")</f>
        <v>Ilagay ito sa pre-cut na dinner bag para tapusin</v>
      </c>
      <c r="G22" s="1" t="str">
        <f>_xlfn.TRANSLATE(Steps[[#This Row],[內容]],"zh-cht","id")</f>
        <v>Masukkan ke dalam kantong makan malam yang sudah dipotong untuk menyelesaikan</v>
      </c>
    </row>
    <row r="23" spans="1:7" x14ac:dyDescent="0.4">
      <c r="A23" s="22" t="str">
        <f>_xlfn.XLOOKUP(B23,表格1[ID],表格1[Dish])</f>
        <v>麻婆豆腐</v>
      </c>
      <c r="B23" s="1" t="s">
        <v>134</v>
      </c>
      <c r="C23" s="1">
        <v>1</v>
      </c>
      <c r="D23" s="10" t="s">
        <v>370</v>
      </c>
      <c r="E23" s="1" t="str">
        <f>_xlfn.TRANSLATE(Steps[[#This Row],[內容]],"zh-cht","en")</f>
        <v>Blanch the tofu in boiling water for 1 minute to remove the flavor.</v>
      </c>
      <c r="F23" s="1" t="str">
        <f>_xlfn.TRANSLATE(Steps[[#This Row],[內容]],"zh-cht","fil")</f>
        <v>I-blanch ang tofu sa kumukulong tubig ng 1 minuto para mawala ang lasa.</v>
      </c>
      <c r="G23" s="1" t="str">
        <f>_xlfn.TRANSLATE(Steps[[#This Row],[內容]],"zh-cht","id")</f>
        <v>Rebus tahu dalam air mendidih selama 1 menit untuk menghilangkan rasa.</v>
      </c>
    </row>
    <row r="24" spans="1:7" ht="17" x14ac:dyDescent="0.4">
      <c r="A24" s="22" t="str">
        <f>_xlfn.XLOOKUP(B24,表格1[ID],表格1[Dish])</f>
        <v>麻婆豆腐</v>
      </c>
      <c r="B24" s="1" t="s">
        <v>134</v>
      </c>
      <c r="C24" s="1">
        <v>2</v>
      </c>
      <c r="D24" s="10" t="s">
        <v>452</v>
      </c>
      <c r="E24" s="1" t="str">
        <f>_xlfn.TRANSLATE(Steps[[#This Row],[內容]],"zh-cht","en")</f>
        <v>Heat a wok over medium heat, add oil and stir-fry the pork for 1 minute, then add black pepper.</v>
      </c>
      <c r="F24" s="1" t="str">
        <f>_xlfn.TRANSLATE(Steps[[#This Row],[內容]],"zh-cht","fil")</f>
        <v>Painitin ang wok sa katamtamang init, idagdag ang mantika at igisa ang baboy ng 1 minuto, pagkatapos ay idagdag ang itim na paminta.</v>
      </c>
      <c r="G24" s="1" t="str">
        <f>_xlfn.TRANSLATE(Steps[[#This Row],[內容]],"zh-cht","id")</f>
        <v>Panaskan wajan dengan api sedang, tambahkan minyak dan tumis daging babi selama 1 menit, lalu tambahkan lada hitam.</v>
      </c>
    </row>
    <row r="25" spans="1:7" x14ac:dyDescent="0.4">
      <c r="A25" s="22" t="str">
        <f>_xlfn.XLOOKUP(B25,表格1[ID],表格1[Dish])</f>
        <v>麻婆豆腐</v>
      </c>
      <c r="B25" s="1" t="s">
        <v>134</v>
      </c>
      <c r="C25" s="1">
        <v>3</v>
      </c>
      <c r="D25" s="10" t="s">
        <v>371</v>
      </c>
      <c r="E25" s="1" t="str">
        <f>_xlfn.TRANSLATE(Steps[[#This Row],[內容]],"zh-cht","en")</f>
        <v>Remove the meat and set aside. Leave some oil, add Sichuan peppercorn oil and spicy doubanjiang, then add minced ginger and garlic.</v>
      </c>
      <c r="F25" s="1" t="str">
        <f>_xlfn.TRANSLATE(Steps[[#This Row],[內容]],"zh-cht","fil")</f>
        <v>Alisin ang karne at itabi sa tabi. Mag-iwan ng kaunting mantika, idagdag ang Sichuan peppercorn oil at maanghang na doubanjiang, pagkatapos ay idagdag ang tinadtad na luya at bawang.</v>
      </c>
      <c r="G25" s="1" t="str">
        <f>_xlfn.TRANSLATE(Steps[[#This Row],[內容]],"zh-cht","id")</f>
        <v>Keluarkan daging dan sisihkan. Sisakan sedikit minyak, tambahkan minyak lada Sichuan dan doubanjiang pedas, lalu tambahkan jahe cincang dan bawang putih.</v>
      </c>
    </row>
    <row r="26" spans="1:7" ht="17" x14ac:dyDescent="0.4">
      <c r="A26" s="22" t="str">
        <f>_xlfn.XLOOKUP(B26,表格1[ID],表格1[Dish])</f>
        <v>麻婆豆腐</v>
      </c>
      <c r="B26" s="1" t="s">
        <v>134</v>
      </c>
      <c r="C26" s="1">
        <v>4</v>
      </c>
      <c r="D26" s="10" t="s">
        <v>453</v>
      </c>
      <c r="E26" s="1" t="str">
        <f>_xlfn.TRANSLATE(Steps[[#This Row],[內容]],"zh-cht","en")</f>
        <v>Add fermented black beans, then add the meat and pickled mustard greens, stir-fry briefly.</v>
      </c>
      <c r="F26" s="1" t="str">
        <f>_xlfn.TRANSLATE(Steps[[#This Row],[內容]],"zh-cht","fil")</f>
        <v>Idagdag ang fermented na black beans, pagkatapos ay idagdag ang karne at pickled mustard greens, at igisa sandali.</v>
      </c>
      <c r="G26" s="1" t="str">
        <f>_xlfn.TRANSLATE(Steps[[#This Row],[內容]],"zh-cht","id")</f>
        <v>Tambahkan kacang hitam fermentasi, lalu tambahkan daging dan daun mustard acar, tumis sebentar.</v>
      </c>
    </row>
    <row r="27" spans="1:7" ht="17" x14ac:dyDescent="0.4">
      <c r="A27" s="22" t="str">
        <f>_xlfn.XLOOKUP(B27,表格1[ID],表格1[Dish])</f>
        <v>麻婆豆腐</v>
      </c>
      <c r="B27" s="1" t="s">
        <v>134</v>
      </c>
      <c r="C27" s="1">
        <v>5</v>
      </c>
      <c r="D27" s="1" t="s">
        <v>454</v>
      </c>
      <c r="E27" s="1" t="str">
        <f>_xlfn.TRANSLATE(Steps[[#This Row],[內容]],"zh-cht","en")</f>
        <v>Add soup.</v>
      </c>
      <c r="F27" s="1" t="str">
        <f>_xlfn.TRANSLATE(Steps[[#This Row],[內容]],"zh-cht","fil")</f>
        <v>Magdagdag ng sopas.</v>
      </c>
      <c r="G27" s="1" t="str">
        <f>_xlfn.TRANSLATE(Steps[[#This Row],[內容]],"zh-cht","id")</f>
        <v>Tambahkan sup.</v>
      </c>
    </row>
    <row r="28" spans="1:7" x14ac:dyDescent="0.4">
      <c r="A28" s="22" t="str">
        <f>_xlfn.XLOOKUP(B28,表格1[ID],表格1[Dish])</f>
        <v>麻婆豆腐</v>
      </c>
      <c r="B28" s="1" t="s">
        <v>134</v>
      </c>
      <c r="C28" s="1">
        <v>6</v>
      </c>
      <c r="D28" s="10" t="s">
        <v>390</v>
      </c>
      <c r="E28" s="1" t="str">
        <f>_xlfn.TRANSLATE(Steps[[#This Row],[內容]],"zh-cht","en")</f>
        <v>Add dark soy sauce, add the tofu, and simmer on low heat for 3 minutes.</v>
      </c>
      <c r="F28" s="1" t="str">
        <f>_xlfn.TRANSLATE(Steps[[#This Row],[內容]],"zh-cht","fil")</f>
        <v>Idagdag ang madilim na toyo, ilagay ang tofu, at pakuluan sa mababang init ng 3 minuto.</v>
      </c>
      <c r="G28" s="1" t="str">
        <f>_xlfn.TRANSLATE(Steps[[#This Row],[內容]],"zh-cht","id")</f>
        <v>Tambahkan kecap asin gelap, tambahkan tahu, dan didihkan dengan api kecil selama 3 menit.</v>
      </c>
    </row>
    <row r="29" spans="1:7" x14ac:dyDescent="0.4">
      <c r="A29" s="22" t="str">
        <f>_xlfn.XLOOKUP(B29,表格1[ID],表格1[Dish])</f>
        <v>麻婆豆腐</v>
      </c>
      <c r="B29" s="1" t="s">
        <v>134</v>
      </c>
      <c r="C29" s="1">
        <v>7</v>
      </c>
      <c r="D29" s="10" t="s">
        <v>391</v>
      </c>
      <c r="E29" s="1" t="str">
        <f>_xlfn.TRANSLATE(Steps[[#This Row],[內容]],"zh-cht","en")</f>
        <v>Add cornstarch water, add chopped scallions, cook for 30 seconds, and half a teaspoon of sesame oil.</v>
      </c>
      <c r="F29" s="1" t="str">
        <f>_xlfn.TRANSLATE(Steps[[#This Row],[內容]],"zh-cht","fil")</f>
        <v>Magdagdag ng cornstarch water, idagdag ang tinadtad na scallions, lutuin ng 30 segundo, at kalahating kutsarita ng sesame oil.</v>
      </c>
      <c r="G29" s="1" t="str">
        <f>_xlfn.TRANSLATE(Steps[[#This Row],[內容]],"zh-cht","id")</f>
        <v>Tambahkan air tepung jagung, tambahkan daun bawang cincang, masak selama 30 detik, dan setengah sendok teh minyak wijen.</v>
      </c>
    </row>
    <row r="30" spans="1:7" x14ac:dyDescent="0.4">
      <c r="A30" s="22" t="str">
        <f>_xlfn.XLOOKUP(B30,表格1[ID],表格1[Dish])</f>
        <v>蒜蓉蒸茄子</v>
      </c>
      <c r="B30" s="1" t="s">
        <v>135</v>
      </c>
      <c r="C30" s="1">
        <v>1</v>
      </c>
      <c r="D30" s="10" t="s">
        <v>455</v>
      </c>
      <c r="E30" s="1" t="str">
        <f>_xlfn.TRANSLATE(Steps[[#This Row],[內容]],"zh-cht","en")</f>
        <v>Cut open and wash the eggplant, then lay it out on a plate.</v>
      </c>
      <c r="F30" s="1" t="str">
        <f>_xlfn.TRANSLATE(Steps[[#This Row],[內容]],"zh-cht","fil")</f>
        <v>Putulin at hugasan ang talong, pagkatapos ay ilatag ito sa plato.</v>
      </c>
      <c r="G30" s="1" t="str">
        <f>_xlfn.TRANSLATE(Steps[[#This Row],[內容]],"zh-cht","id")</f>
        <v>Potong dan cuci terong, lalu letakkan di atas piring.</v>
      </c>
    </row>
    <row r="31" spans="1:7" x14ac:dyDescent="0.4">
      <c r="A31" s="22" t="str">
        <f>_xlfn.XLOOKUP(B31,表格1[ID],表格1[Dish])</f>
        <v>蒜蓉蒸茄子</v>
      </c>
      <c r="B31" s="1" t="s">
        <v>135</v>
      </c>
      <c r="C31" s="1">
        <v>2</v>
      </c>
      <c r="D31" s="10" t="s">
        <v>412</v>
      </c>
      <c r="E31" s="1" t="str">
        <f>_xlfn.TRANSLATE(Steps[[#This Row],[內容]],"zh-cht","en")</f>
        <v>Add sugar, cornstarch, and chicken powder to the minced garlic, then mix well.</v>
      </c>
      <c r="F31" s="1" t="str">
        <f>_xlfn.TRANSLATE(Steps[[#This Row],[內容]],"zh-cht","fil")</f>
        <v>Idagdag ang asukal, cornstarch, at chicken powder sa tinadtad na bawang, pagkatapos ay haluin nang mabuti.</v>
      </c>
      <c r="G31" s="1" t="str">
        <f>_xlfn.TRANSLATE(Steps[[#This Row],[內容]],"zh-cht","id")</f>
        <v>Tambahkan gula, tepung jagung, dan bubuk ayam ke bawang putih cincang, lalu aduk rata.</v>
      </c>
    </row>
    <row r="32" spans="1:7" x14ac:dyDescent="0.4">
      <c r="A32" s="22" t="str">
        <f>_xlfn.XLOOKUP(B32,表格1[ID],表格1[Dish])</f>
        <v>蒜蓉蒸茄子</v>
      </c>
      <c r="B32" s="1" t="s">
        <v>135</v>
      </c>
      <c r="C32" s="1">
        <v>3</v>
      </c>
      <c r="D32" s="10" t="s">
        <v>409</v>
      </c>
      <c r="E32" s="1" t="str">
        <f>_xlfn.TRANSLATE(Steps[[#This Row],[內容]],"zh-cht","en")</f>
        <v>Heat oil, pour in the minced garlic, mix well, and spread it over the eggplant.</v>
      </c>
      <c r="F32" s="1" t="str">
        <f>_xlfn.TRANSLATE(Steps[[#This Row],[內容]],"zh-cht","fil")</f>
        <v>Painitin ang mantika, ibuhos ang tinadtad na bawang, haluin nang mabuti, at ikalat ito sa talong.</v>
      </c>
      <c r="G32" s="1" t="str">
        <f>_xlfn.TRANSLATE(Steps[[#This Row],[內容]],"zh-cht","id")</f>
        <v>Panaskan minyak, tuangkan bawang putih cincang, aduk rata, lalu oleskan di atas terong.</v>
      </c>
    </row>
    <row r="33" spans="1:7" x14ac:dyDescent="0.4">
      <c r="A33" s="22" t="str">
        <f>_xlfn.XLOOKUP(B33,表格1[ID],表格1[Dish])</f>
        <v>蒜蓉蒸茄子</v>
      </c>
      <c r="B33" s="1" t="s">
        <v>135</v>
      </c>
      <c r="C33" s="1">
        <v>4</v>
      </c>
      <c r="D33" s="10" t="s">
        <v>410</v>
      </c>
      <c r="E33" s="1" t="str">
        <f>_xlfn.TRANSLATE(Steps[[#This Row],[內容]],"zh-cht","en")</f>
        <v>Once the water boils, steam on high heat for 10 minutes.</v>
      </c>
      <c r="F33" s="1" t="str">
        <f>_xlfn.TRANSLATE(Steps[[#This Row],[內容]],"zh-cht","fil")</f>
        <v>Kapag kumulo na ang tubig, i-steam sa mataas na init ng 10 minuto.</v>
      </c>
      <c r="G33" s="1" t="str">
        <f>_xlfn.TRANSLATE(Steps[[#This Row],[內容]],"zh-cht","id")</f>
        <v>Setelah air mendidih, kukus dengan api tinggi selama 10 menit.</v>
      </c>
    </row>
    <row r="34" spans="1:7" x14ac:dyDescent="0.4">
      <c r="A34" s="22" t="str">
        <f>_xlfn.XLOOKUP(B34,表格1[ID],表格1[Dish])</f>
        <v>蒜蓉蒸茄子</v>
      </c>
      <c r="B34" s="1" t="s">
        <v>135</v>
      </c>
      <c r="C34" s="1">
        <v>5</v>
      </c>
      <c r="D34" s="10" t="s">
        <v>411</v>
      </c>
      <c r="E34" s="1" t="str">
        <f>_xlfn.TRANSLATE(Steps[[#This Row],[內容]],"zh-cht","en")</f>
        <v>Add chopped scallions, pour in flaky oil, and pour in hot oil to finish.</v>
      </c>
      <c r="F34" s="1" t="str">
        <f>_xlfn.TRANSLATE(Steps[[#This Row],[內容]],"zh-cht","fil")</f>
        <v>Idagdag ang tinadtad na scallions, ibuhos ang flaky oil, at ibuhos ang mainit na mantika bilang finish.</v>
      </c>
      <c r="G34" s="1" t="str">
        <f>_xlfn.TRANSLATE(Steps[[#This Row],[內容]],"zh-cht","id")</f>
        <v>Tambahkan daun bawang cincang, tuangkan minyak yang mengelupas, lalu tuangkan minyak panas untuk melengkapi.</v>
      </c>
    </row>
    <row r="35" spans="1:7" x14ac:dyDescent="0.4">
      <c r="A35" s="22" t="str">
        <f>_xlfn.XLOOKUP(B35,表格1[ID],表格1[Dish])</f>
        <v>金銀蛋菠菜</v>
      </c>
      <c r="B35" s="1" t="s">
        <v>136</v>
      </c>
      <c r="C35" s="1">
        <v>1</v>
      </c>
      <c r="D35" s="10" t="s">
        <v>423</v>
      </c>
      <c r="E35" s="1" t="str">
        <f>_xlfn.TRANSLATE(Steps[[#This Row],[內容]],"zh-cht","en")</f>
        <v>Separate the salted egg whites and yolks; Peel the century eggs and cut into small pieces.</v>
      </c>
      <c r="F35" s="1" t="str">
        <f>_xlfn.TRANSLATE(Steps[[#This Row],[內容]],"zh-cht","fil")</f>
        <v>Paghiwalayin ang maalat na puti ng itlog at pula ng itlog; Balatan ang century eggs at hiwain sa maliliit na piraso.</v>
      </c>
      <c r="G35" s="1" t="str">
        <f>_xlfn.TRANSLATE(Steps[[#This Row],[內容]],"zh-cht","id")</f>
        <v>Pisahkan putih telur dan kuning telur yang diasinkan; Kupas telur abad dan potong menjadi potongan kecil.</v>
      </c>
    </row>
    <row r="36" spans="1:7" ht="17" x14ac:dyDescent="0.4">
      <c r="A36" s="22" t="str">
        <f>_xlfn.XLOOKUP(B36,表格1[ID],表格1[Dish])</f>
        <v>金銀蛋菠菜</v>
      </c>
      <c r="B36" s="1" t="s">
        <v>136</v>
      </c>
      <c r="C36" s="1">
        <v>2</v>
      </c>
      <c r="D36" s="10" t="s">
        <v>424</v>
      </c>
      <c r="E36" s="1" t="str">
        <f>_xlfn.TRANSLATE(Steps[[#This Row],[內容]],"zh-cht","en")</f>
        <v>Add oil, sauté whole garlic until fragrant, after 1 minute, add spinach and stir-fry quickly, pour in a little chicken broth, and serve with spinach.</v>
      </c>
      <c r="F36" s="1" t="str">
        <f>_xlfn.TRANSLATE(Steps[[#This Row],[內容]],"zh-cht","fil")</f>
        <v>Magdagdag ng mantika, igisa ang buong bawang hanggang mabango, pagkatapos ng 1 minuto, idagdag ang spinach at igisa nang mabilis, ibuhos ang kaunting sabaw ng manok, at ihain kasama ang spinach.</v>
      </c>
      <c r="G36" s="1" t="str">
        <f>_xlfn.TRANSLATE(Steps[[#This Row],[內容]],"zh-cht","id")</f>
        <v>Tambahkan minyak, tumis bawang putih utuh hingga harum, setelah 1 menit, tambahkan bayam dan tumis dengan cepat, tuang sedikit kaldu ayam, dan sajikan bersama bayam.</v>
      </c>
    </row>
    <row r="37" spans="1:7" ht="17" x14ac:dyDescent="0.4">
      <c r="A37" s="22" t="str">
        <f>_xlfn.XLOOKUP(B37,表格1[ID],表格1[Dish])</f>
        <v>金銀蛋菠菜</v>
      </c>
      <c r="B37" s="1" t="s">
        <v>136</v>
      </c>
      <c r="C37" s="1">
        <v>3</v>
      </c>
      <c r="D37" s="10" t="s">
        <v>456</v>
      </c>
      <c r="E37" s="1" t="str">
        <f>_xlfn.TRANSLATE(Steps[[#This Row],[內容]],"zh-cht","en")</f>
        <v>Bring a clear wok to a boil, add chicken broth, first add salted egg yolk and century egg, cook for 2 minutes, then add salted egg whites and beat into egg drops. Add spinach and serve with soup</v>
      </c>
      <c r="F37" s="1" t="str">
        <f>_xlfn.TRANSLATE(Steps[[#This Row],[內容]],"zh-cht","fil")</f>
        <v>Pakuluan ang malinaw na wok, idagdag ang sabaw ng manok, una idagdag ang maalat na pula ng itlog at century egg, lutuin ng 2 minuto, pagkatapos ay idagdag ang maalat na puti ng itlog at batiin hanggang maging egg drops. Idagdag ang spinach at ihain kasama ng sopas</v>
      </c>
      <c r="G37" s="1" t="str">
        <f>_xlfn.TRANSLATE(Steps[[#This Row],[內容]],"zh-cht","id")</f>
        <v>Didihkan wajan bening, tambahkan kaldu ayam, tambahkan kuning telur asin dan telur abad terlebih dahulu, masak selama 2 menit, lalu tambahkan putih telur asin dan kocok menjadi tetesan telur. Tambahkan bayam dan sajikan bersama sup</v>
      </c>
    </row>
    <row r="38" spans="1:7" x14ac:dyDescent="0.4">
      <c r="A38" s="22" t="str">
        <f>_xlfn.XLOOKUP(B38,表格1[ID],表格1[Dish])</f>
        <v>薑葱焗桶蠔</v>
      </c>
      <c r="B38" s="1" t="s">
        <v>138</v>
      </c>
      <c r="C38" s="1">
        <v>1</v>
      </c>
      <c r="D38" s="10" t="s">
        <v>435</v>
      </c>
      <c r="E38" s="1" t="str">
        <f>_xlfn.TRANSLATE(Steps[[#This Row],[內容]],"zh-cht","en")</f>
        <v>Cut the scallion into sections (separate the white and green parts), and slice the ginger for later use.</v>
      </c>
      <c r="F38" s="1" t="str">
        <f>_xlfn.TRANSLATE(Steps[[#This Row],[內容]],"zh-cht","fil")</f>
        <v>Hiwain ang scallion sa mga bahagi (paghiwalayin ang puti at berdeng bahagi), at hiwain ang luya para magamit sa susunod.</v>
      </c>
      <c r="G38" s="1" t="str">
        <f>_xlfn.TRANSLATE(Steps[[#This Row],[內容]],"zh-cht","id")</f>
        <v>Potong daun bawang menjadi beberapa bagian (pisahkan bagian putih dan hijau), lalu iris jahe untuk digunakan nanti.</v>
      </c>
    </row>
    <row r="39" spans="1:7" ht="17" x14ac:dyDescent="0.4">
      <c r="A39" s="22" t="str">
        <f>_xlfn.XLOOKUP(B39,表格1[ID],表格1[Dish])</f>
        <v>薑葱焗桶蠔</v>
      </c>
      <c r="B39" s="1" t="s">
        <v>138</v>
      </c>
      <c r="C39" s="1">
        <v>2</v>
      </c>
      <c r="D39" s="11" t="s">
        <v>459</v>
      </c>
      <c r="E39" s="1" t="str">
        <f>_xlfn.TRANSLATE(Steps[[#This Row],[內容]],"zh-cht","en")</f>
        <v>Rinse the oysters gently with 2 tablespoons of cornstarch until they are no longer cloudy. Absorb the water. Gently wipe off the surface with your hands</v>
      </c>
      <c r="F39" s="1" t="str">
        <f>_xlfn.TRANSLATE(Steps[[#This Row],[內容]],"zh-cht","fil")</f>
        <v>Banlawan nang dahan-dahan ang talaba gamit ang 2 kutsara ng cornstarch hanggang hindi na ito malabo. Sipsipin ang tubig. Dahan-dahang punasan ang ibabaw gamit ang iyong mga kamay</v>
      </c>
      <c r="G39" s="1" t="str">
        <f>_xlfn.TRANSLATE(Steps[[#This Row],[內容]],"zh-cht","id")</f>
        <v>Bilas tiram dengan lembut menggunakan 2 sendok makan tepung maizena hingga tidak keruh lagi. Serap airnya. Lap permukaannya dengan tangan dengan lembut</v>
      </c>
    </row>
    <row r="40" spans="1:7" ht="17" x14ac:dyDescent="0.4">
      <c r="A40" s="22" t="str">
        <f>_xlfn.XLOOKUP(B40,表格1[ID],表格1[Dish])</f>
        <v>薑葱焗桶蠔</v>
      </c>
      <c r="B40" s="1" t="s">
        <v>138</v>
      </c>
      <c r="C40" s="1">
        <v>3</v>
      </c>
      <c r="D40" s="11" t="s">
        <v>460</v>
      </c>
      <c r="E40" s="1" t="str">
        <f>_xlfn.TRANSLATE(Steps[[#This Row],[內容]],"zh-cht","en")</f>
        <v>After boiling water, add a little ginger slices, blanch the oysters for 1 minute, remove and dry them, then coat with 3 tablespoons of cornstarch and salt.</v>
      </c>
      <c r="F40" s="1" t="str">
        <f>_xlfn.TRANSLATE(Steps[[#This Row],[內容]],"zh-cht","fil")</f>
        <v>Pagkatapos kumukulo ng tubig, magdagdag ng kaunting hiwa ng luya, i-blanch ang mga talaba ng 1 minuto, alisin at patuyuin, pagkatapos ay balutin ng 3 kutsara ng cornstarch at asin.</v>
      </c>
      <c r="G40" s="1" t="str">
        <f>_xlfn.TRANSLATE(Steps[[#This Row],[內容]],"zh-cht","id")</f>
        <v>Setelah air direbus, tambahkan sedikit irisan jahe, rebus tiram selama 1 menit, angkat dan keringkan, lalu lapisi dengan 3 sendok makan tepung maizena dan garam.</v>
      </c>
    </row>
    <row r="41" spans="1:7" ht="34" x14ac:dyDescent="0.4">
      <c r="A41" s="22" t="str">
        <f>_xlfn.XLOOKUP(B41,表格1[ID],表格1[Dish])</f>
        <v>薑葱焗桶蠔</v>
      </c>
      <c r="B41" s="1" t="s">
        <v>138</v>
      </c>
      <c r="C41" s="1">
        <v>4</v>
      </c>
      <c r="D41" s="11" t="s">
        <v>466</v>
      </c>
      <c r="E41" s="1" t="str">
        <f>_xlfn.TRANSLATE(Steps[[#This Row],[內容]],"zh-cht","en")</f>
        <v>Heat oil in a pan over medium heat, add ginger slices and scallion whites to release flavor, then remove the ginger and scallion whites, add oysters and pan-fry until slightly golden, then remove. Fry on high heat for 30 seconds and flip to the other side</v>
      </c>
      <c r="F41" s="1" t="str">
        <f>_xlfn.TRANSLATE(Steps[[#This Row],[內容]],"zh-cht","fil")</f>
        <v>Painitin ang mantika sa kawali sa katamtamang init, idagdag ang mga hiwa ng luya at puti ng scallion para mailabas ang lasa, pagkatapos alisin ang luya at puti ng scallion, idagdag ang talaba at iprito sa kawali hanggang bahagyang maging ginto, pagkatapos ay alisin. Iprito sa mataas na init ng 30 segundo at baliktarin sa kabilang gilid</v>
      </c>
      <c r="G41" s="1" t="str">
        <f>_xlfn.TRANSLATE(Steps[[#This Row],[內容]],"zh-cht","id")</f>
        <v>Panaskan minyak dalam wajan dengan api sedang, tambahkan irisan jahe dan putih bawang bawang untuk melepaskan rasa, lalu keluarkan jahe dan putih daun bawang, tambahkan tiram dan goreng sampai sedikit keemasan, lalu angkat. Goreng dengan api tinggi selama 30 detik lalu balik ke sisi lain</v>
      </c>
    </row>
    <row r="42" spans="1:7" ht="32.5" x14ac:dyDescent="0.4">
      <c r="A42" s="22" t="str">
        <f>_xlfn.XLOOKUP(B42,表格1[ID],表格1[Dish])</f>
        <v>薑葱焗桶蠔</v>
      </c>
      <c r="B42" s="1" t="s">
        <v>138</v>
      </c>
      <c r="C42" s="1">
        <v>5</v>
      </c>
      <c r="D42" s="11" t="s">
        <v>465</v>
      </c>
      <c r="E42" s="1" t="str">
        <f>_xlfn.TRANSLATE(Steps[[#This Row],[內容]],"zh-cht","en")</f>
        <v>Add garlic and stir-fry until fragrant, then add Shaoxing wine and the scallion and ginger that have just released the flavor. Once fragrant, add the oysters and stir-fry quickly. Divide the sauce in stages to reduce the sauce, then add the green scallions and stir-fry at the same time. Add two drops of sesame oil before serving</v>
      </c>
      <c r="F42" s="1" t="str">
        <f>_xlfn.TRANSLATE(Steps[[#This Row],[內容]],"zh-cht","fil")</f>
        <v>Idagdag ang bawang at igisa hanggang mabango, pagkatapos ay idagdag ang Shaoxing wine at ang scallion at luya na kakalabas lang ng lasa. Kapag mabango, idagdag ang talaba at mabilis na igisa. Hatiin ang sarsa sa mga yugto upang mabawasan ang sarsa, pagkatapos idagdag ang berdeng sibuyas at iprito nang sabay. Magdagdag ng dalawang patak ng sesame oil bago ihain</v>
      </c>
      <c r="G42" s="1" t="str">
        <f>_xlfn.TRANSLATE(Steps[[#This Row],[內容]],"zh-cht","id")</f>
        <v>Tambahkan bawang putih dan tumis sampai harum, lalu tambahkan Shaoxing wine serta daun bawang dan jahe yang baru saja melepaskan rasa. Setelah harum, tambahkan tiram dan tumis dengan cepat. Bagi saus secara bertahap untuk mengurangi saus, lalu tambahkan daun bawang hijau dan tumis secara bersamaan. Tambahkan dua tetes minyak wijen sebelum disajikan</v>
      </c>
    </row>
    <row r="43" spans="1:7" x14ac:dyDescent="0.4">
      <c r="A43" s="22" t="str">
        <f>_xlfn.XLOOKUP(B43,表格1[ID],表格1[Dish])</f>
        <v>土匪雞翼</v>
      </c>
      <c r="B43" s="1" t="s">
        <v>139</v>
      </c>
      <c r="C43" s="1">
        <v>1</v>
      </c>
      <c r="D43" s="10" t="s">
        <v>449</v>
      </c>
      <c r="E43" s="1" t="str">
        <f>_xlfn.TRANSLATE(Steps[[#This Row],[內容]],"zh-cht","en")</f>
        <v>Wash the chicken wings, wipe them dry, and marinate them with seasonings for a few hours</v>
      </c>
      <c r="F43" s="1" t="str">
        <f>_xlfn.TRANSLATE(Steps[[#This Row],[內容]],"zh-cht","fil")</f>
        <v>Hugasan ang mga pakpak ng manok, punasan ito para matuyo, at i-marinate gamit ang mga pampalasa ng ilang oras</v>
      </c>
      <c r="G43" s="1" t="str">
        <f>_xlfn.TRANSLATE(Steps[[#This Row],[內容]],"zh-cht","id")</f>
        <v>Cuci sayap ayam, lap kering, dan marinasi dengan bumbu selama beberapa jam</v>
      </c>
    </row>
    <row r="44" spans="1:7" x14ac:dyDescent="0.4">
      <c r="A44" s="22" t="str">
        <f>_xlfn.XLOOKUP(B44,表格1[ID],表格1[Dish])</f>
        <v>土匪雞翼</v>
      </c>
      <c r="B44" s="1" t="s">
        <v>139</v>
      </c>
      <c r="C44" s="1">
        <v>2</v>
      </c>
      <c r="D44" s="10" t="s">
        <v>450</v>
      </c>
      <c r="E44" s="1" t="str">
        <f>_xlfn.TRANSLATE(Steps[[#This Row],[內容]],"zh-cht","en")</f>
        <v>Place the chicken wings in the air fryer basket, brushing a little oil on the surface.</v>
      </c>
      <c r="F44" s="1" t="str">
        <f>_xlfn.TRANSLATE(Steps[[#This Row],[內容]],"zh-cht","fil")</f>
        <v>Ilagay ang mga pakpak ng manok sa basket ng air fryer, pahiran ng kaunting mantika sa ibabaw.</v>
      </c>
      <c r="G44" s="1" t="str">
        <f>_xlfn.TRANSLATE(Steps[[#This Row],[內容]],"zh-cht","id")</f>
        <v>Letakkan sayap ayam di keranjang air fryer, oleskan sedikit minyak di permukaannya.</v>
      </c>
    </row>
    <row r="45" spans="1:7" ht="17" x14ac:dyDescent="0.4">
      <c r="A45" s="22" t="str">
        <f>_xlfn.XLOOKUP(B45,表格1[ID],表格1[Dish])</f>
        <v>土匪雞翼</v>
      </c>
      <c r="B45" s="1" t="s">
        <v>139</v>
      </c>
      <c r="C45" s="1">
        <v>3</v>
      </c>
      <c r="D45" s="12" t="s">
        <v>458</v>
      </c>
      <c r="E45" s="1" t="str">
        <f>_xlfn.TRANSLATE(Steps[[#This Row],[內容]],"zh-cht","en")</f>
        <v>Fry at 180°C for about 10 minutes</v>
      </c>
      <c r="F45" s="1" t="str">
        <f>_xlfn.TRANSLATE(Steps[[#This Row],[內容]],"zh-cht","fil")</f>
        <v>Iprito sa 180°C ng mga 10 minuto</v>
      </c>
      <c r="G45" s="1" t="str">
        <f>_xlfn.TRANSLATE(Steps[[#This Row],[內容]],"zh-cht","id")</f>
        <v>Goreng pada suhu 180°C selama sekitar 10 menit</v>
      </c>
    </row>
    <row r="46" spans="1:7" x14ac:dyDescent="0.4">
      <c r="A46" s="22" t="str">
        <f>_xlfn.XLOOKUP(B46,表格1[ID],表格1[Dish])</f>
        <v>土匪雞翼</v>
      </c>
      <c r="B46" s="1" t="s">
        <v>139</v>
      </c>
      <c r="C46" s="1">
        <v>4</v>
      </c>
      <c r="D46" s="10" t="s">
        <v>451</v>
      </c>
      <c r="E46" s="1" t="str">
        <f>_xlfn.TRANSLATE(Steps[[#This Row],[內容]],"zh-cht","en")</f>
        <v>Turn on the air fryer and flip the chicken wings</v>
      </c>
      <c r="F46" s="1" t="str">
        <f>_xlfn.TRANSLATE(Steps[[#This Row],[內容]],"zh-cht","fil")</f>
        <v>Buksan ang air fryer at baliktarin ang mga pakpak ng manok</v>
      </c>
      <c r="G46" s="1" t="str">
        <f>_xlfn.TRANSLATE(Steps[[#This Row],[內容]],"zh-cht","id")</f>
        <v>Nyalakan air fryer dan balikkan sayap ayam</v>
      </c>
    </row>
    <row r="47" spans="1:7" ht="34" x14ac:dyDescent="0.4">
      <c r="A47" s="22" t="str">
        <f>_xlfn.XLOOKUP(B47,表格1[ID],表格1[Dish])</f>
        <v>土匪雞翼</v>
      </c>
      <c r="B47" s="1" t="s">
        <v>139</v>
      </c>
      <c r="C47" s="1">
        <v>5</v>
      </c>
      <c r="D47" s="10" t="s">
        <v>457</v>
      </c>
      <c r="E47" s="1" t="str">
        <f>_xlfn.TRANSLATE(Steps[[#This Row],[內容]],"zh-cht","en")</f>
        <v>Sprinkle a layer of cumin powder and black/white sesame seeds on top, then air fry at 180°C (or raise to 200°C to release fat) for another 3 to 5 minutes until the chicken skin is golden and crispy, then remove from heat</v>
      </c>
      <c r="F47" s="1" t="str">
        <f>_xlfn.TRANSLATE(Steps[[#This Row],[內容]],"zh-cht","fil")</f>
        <v>Budburan ng patong ng cumin powder at itim/puting linga sa ibabaw, pagkatapos ay i-air fry sa 180°C (o itaas sa 200°C para mawala ang taba) ng isa pang 3 hanggang 5 minuto hanggang maging ginto at malutong ang balat ng manok, pagkatapos ay alisin sa apoy</v>
      </c>
      <c r="G47" s="1" t="str">
        <f>_xlfn.TRANSLATE(Steps[[#This Row],[內容]],"zh-cht","id")</f>
        <v>Taburkan lapisan bubuk jintan dan biji wijen hitam/putih di atasnya, lalu goreng dengan udara pada suhu 180°C (atau tingkatkan hingga 200°C untuk melepaskan lemak) selama 3 hingga 5 menit lagi hingga kulit ayam berwarna keemasan dan renyah, lalu angkat dari api</v>
      </c>
    </row>
    <row r="48" spans="1:7" x14ac:dyDescent="0.4">
      <c r="A48" s="22" t="str">
        <f>_xlfn.XLOOKUP(B48,表格1[ID],表格1[Dish])</f>
        <v>涼伴雲耳</v>
      </c>
      <c r="B48" s="1" t="s">
        <v>140</v>
      </c>
      <c r="C48" s="1">
        <v>1</v>
      </c>
      <c r="D48" s="10" t="s">
        <v>469</v>
      </c>
      <c r="E48" s="1" t="str">
        <f>_xlfn.TRANSLATE(Steps[[#This Row],[內容]],"zh-cht","en")</f>
        <v>Soak the black fungus for 30 minutes, drain, and remove sand.</v>
      </c>
      <c r="F48" s="1" t="str">
        <f>_xlfn.TRANSLATE(Steps[[#This Row],[內容]],"zh-cht","fil")</f>
        <v>Ibabad ang itim na fungus ng 30 minuto, i-drain, at alisin ang buhangin.</v>
      </c>
      <c r="G48" s="1" t="str">
        <f>_xlfn.TRANSLATE(Steps[[#This Row],[內容]],"zh-cht","id")</f>
        <v>Rendam jamur hitam selama 30 menit, tiriskan, dan angkat pasir.</v>
      </c>
    </row>
    <row r="49" spans="1:7" x14ac:dyDescent="0.4">
      <c r="A49" s="22" t="str">
        <f>_xlfn.XLOOKUP(B49,表格1[ID],表格1[Dish])</f>
        <v>涼伴雲耳</v>
      </c>
      <c r="B49" s="1" t="s">
        <v>140</v>
      </c>
      <c r="C49" s="1">
        <v>2</v>
      </c>
      <c r="D49" s="10" t="s">
        <v>470</v>
      </c>
      <c r="E49" s="1" t="str">
        <f>_xlfn.TRANSLATE(Steps[[#This Row],[內容]],"zh-cht","en")</f>
        <v>Repeat the wash 3 times.</v>
      </c>
      <c r="F49" s="1" t="str">
        <f>_xlfn.TRANSLATE(Steps[[#This Row],[內容]],"zh-cht","fil")</f>
        <v>Ulitin ang paghuhugas ng 3 beses.</v>
      </c>
      <c r="G49" s="1" t="str">
        <f>_xlfn.TRANSLATE(Steps[[#This Row],[內容]],"zh-cht","id")</f>
        <v>Ulangi pencucian 3 kali.</v>
      </c>
    </row>
    <row r="50" spans="1:7" ht="17" x14ac:dyDescent="0.4">
      <c r="A50" s="22" t="str">
        <f>_xlfn.XLOOKUP(B50,表格1[ID],表格1[Dish])</f>
        <v>涼伴雲耳</v>
      </c>
      <c r="B50" s="1" t="s">
        <v>140</v>
      </c>
      <c r="C50" s="1">
        <v>3</v>
      </c>
      <c r="D50" s="10" t="s">
        <v>471</v>
      </c>
      <c r="E50" s="1" t="str">
        <f>_xlfn.TRANSLATE(Steps[[#This Row],[內容]],"zh-cht","en")</f>
        <v>Add the black fungus to the ice in cold water, boil for 2 minutes, then rinse with cold boiling water.</v>
      </c>
      <c r="F50" s="1" t="str">
        <f>_xlfn.TRANSLATE(Steps[[#This Row],[內容]],"zh-cht","fil")</f>
        <v>Idagdag ang itim na fungus sa yelo sa malamig na tubig, pakuluan ng 2 minuto, pagkatapos banlawan gamit ang malamig na kumukulong tubig.</v>
      </c>
      <c r="G50" s="1" t="str">
        <f>_xlfn.TRANSLATE(Steps[[#This Row],[內容]],"zh-cht","id")</f>
        <v>Tambahkan jamur hitam ke dalam es dalam air dingin, didihkan selama 2 menit, lalu bilas dengan air mendidih dingin.</v>
      </c>
    </row>
    <row r="51" spans="1:7" ht="17" x14ac:dyDescent="0.4">
      <c r="A51" s="22" t="str">
        <f>_xlfn.XLOOKUP(B51,表格1[ID],表格1[Dish])</f>
        <v>涼伴雲耳</v>
      </c>
      <c r="B51" s="1" t="s">
        <v>140</v>
      </c>
      <c r="C51" s="1">
        <v>4</v>
      </c>
      <c r="D51" s="10" t="s">
        <v>472</v>
      </c>
      <c r="E51" s="1" t="str">
        <f>_xlfn.TRANSLATE(Steps[[#This Row],[內容]],"zh-cht","en")</f>
        <v>Drain and mix to season. Store in the refrigerator</v>
      </c>
      <c r="F51" s="1" t="str">
        <f>_xlfn.TRANSLATE(Steps[[#This Row],[內容]],"zh-cht","fil")</f>
        <v>I-drain at haluin para sa season. Itago sa refrigerator</v>
      </c>
      <c r="G51" s="1" t="str">
        <f>_xlfn.TRANSLATE(Steps[[#This Row],[內容]],"zh-cht","id")</f>
        <v>Tiriskan dan aduk sesuai bumbu. Simpan di kulkas</v>
      </c>
    </row>
    <row r="52" spans="1:7" ht="17" x14ac:dyDescent="0.4">
      <c r="A52" s="22" t="str">
        <f>_xlfn.XLOOKUP(B52,表格1[ID],表格1[Dish])</f>
        <v>醬燒豆腐</v>
      </c>
      <c r="B52" s="1" t="s">
        <v>700</v>
      </c>
      <c r="C52" s="1">
        <v>1</v>
      </c>
      <c r="D52" s="5" t="s">
        <v>705</v>
      </c>
      <c r="E52" s="1" t="str">
        <f>_xlfn.TRANSLATE(Steps[[#This Row],[內容]],"zh-cht","en")</f>
        <v>Cut the tofu into 8 slices and set aside</v>
      </c>
      <c r="F52" s="1" t="str">
        <f>_xlfn.TRANSLATE(Steps[[#This Row],[內容]],"zh-cht","fil")</f>
        <v>Hiwain ang tofu sa 8 hiwa at itabi</v>
      </c>
      <c r="G52" s="1" t="str">
        <f>_xlfn.TRANSLATE(Steps[[#This Row],[內容]],"zh-cht","id")</f>
        <v>Potong tahu menjadi 8 iris dan sisihkan</v>
      </c>
    </row>
    <row r="53" spans="1:7" ht="17" x14ac:dyDescent="0.4">
      <c r="A53" s="22" t="str">
        <f>_xlfn.XLOOKUP(B53,表格1[ID],表格1[Dish])</f>
        <v>醬燒豆腐</v>
      </c>
      <c r="B53" s="1" t="s">
        <v>700</v>
      </c>
      <c r="C53" s="1">
        <v>2</v>
      </c>
      <c r="D53" s="2" t="s">
        <v>706</v>
      </c>
      <c r="E53" s="1" t="str">
        <f>_xlfn.TRANSLATE(Steps[[#This Row],[內容]],"zh-cht","en")</f>
        <v>Heat a small amount of oil in a pan, then add the egg and tofu, and pan-fry over medium heat until both sides are golden brown</v>
      </c>
      <c r="F53" s="1" t="str">
        <f>_xlfn.TRANSLATE(Steps[[#This Row],[內容]],"zh-cht","fil")</f>
        <v>Painitin ang kaunting mantika sa kawali, pagkatapos idagdag ang itlog at tofu, at iprito sa katamtamang init hanggang maging gintong kayumanggi ang magkabilang panig</v>
      </c>
      <c r="G53" s="1" t="str">
        <f>_xlfn.TRANSLATE(Steps[[#This Row],[內容]],"zh-cht","id")</f>
        <v>Panaskan sedikit minyak di wajan, lalu tambahkan telur dan tahu, lalu goreng di atas api sedang hingga kedua sisinya berwarna cokelat keemasan</v>
      </c>
    </row>
    <row r="54" spans="1:7" ht="17" x14ac:dyDescent="0.4">
      <c r="A54" s="22" t="str">
        <f>_xlfn.XLOOKUP(B54,表格1[ID],表格1[Dish])</f>
        <v>醬燒豆腐</v>
      </c>
      <c r="B54" s="1" t="s">
        <v>700</v>
      </c>
      <c r="C54" s="1">
        <v>3</v>
      </c>
      <c r="D54" s="2" t="s">
        <v>707</v>
      </c>
      <c r="E54" s="1" t="str">
        <f>_xlfn.TRANSLATE(Steps[[#This Row],[內容]],"zh-cht","en")</f>
        <v>Take a small piece of napkin, hold it with chopsticks, absorb excess oil from the pan, then add the seasonings. Once the tofu absorbs the sauce, it's ready</v>
      </c>
      <c r="F54" s="1" t="str">
        <f>_xlfn.TRANSLATE(Steps[[#This Row],[內容]],"zh-cht","fil")</f>
        <v>Kumuha ng maliit na piraso ng napkin, hawakan gamit ang chopsticks, sipsipin ang sobrang mantika mula sa kawali, tapos idagdag ang mga pampalasa. Kapag na-absorb na ng tofu ang sarsa, handa na ito</v>
      </c>
      <c r="G54" s="1" t="str">
        <f>_xlfn.TRANSLATE(Steps[[#This Row],[內容]],"zh-cht","id")</f>
        <v>Ambil sepotong kecil serbet, pegang dengan sumpit, serap minyak berlebih dari wajan, lalu tambahkan bumbu. Setelah tahu menyerap saus, sudah siap</v>
      </c>
    </row>
    <row r="55" spans="1:7" ht="17" x14ac:dyDescent="0.4">
      <c r="A55" s="22" t="str">
        <f>_xlfn.XLOOKUP(B55,表格1[ID],表格1[Dish])</f>
        <v>蒜香蒸豬五花高麗菜</v>
      </c>
      <c r="B55" s="1" t="s">
        <v>734</v>
      </c>
      <c r="C55" s="1">
        <v>1</v>
      </c>
      <c r="D55" s="2" t="s">
        <v>876</v>
      </c>
      <c r="E55" s="21" t="str">
        <f>_xlfn.TRANSLATE(Steps[[#This Row],[內容]],"zh-cht","en")</f>
        <v>Arrange the cabbage and pork belly slices evenly in the pan, then drizzle with Shaoxing wine (optional).</v>
      </c>
      <c r="F55" s="21" t="str">
        <f>_xlfn.TRANSLATE(Steps[[#This Row],[內容]],"zh-cht","fil")</f>
        <v>Ayusin nang pantay-pantay ang hiwa ng repolyo at pork belly sa kawali, pagkatapos ay ibuhos ng Shaoxing wine (opsyonal).</v>
      </c>
      <c r="G55" s="21" t="str">
        <f>_xlfn.TRANSLATE(Steps[[#This Row],[內容]],"zh-cht","id")</f>
        <v>Susun irisan kubis dan perut babi secara merata di wajan, lalu siram dengan anggur Shaoxing (opsional).</v>
      </c>
    </row>
    <row r="56" spans="1:7" ht="17" x14ac:dyDescent="0.4">
      <c r="A56" s="21" t="str">
        <f>_xlfn.XLOOKUP(B56,表格1[ID],表格1[Dish])</f>
        <v>蒜香蒸豬五花高麗菜</v>
      </c>
      <c r="B56" s="1" t="s">
        <v>734</v>
      </c>
      <c r="C56" s="1">
        <v>2</v>
      </c>
      <c r="D56" s="2" t="s">
        <v>877</v>
      </c>
      <c r="E56" s="21" t="str">
        <f>_xlfn.TRANSLATE(Steps[[#This Row],[內容]],"zh-cht","en")</f>
        <v>Cover the pot and simmer over low heat for 7-10 minutes until the meat slices are fully cooked</v>
      </c>
      <c r="F56" s="21" t="str">
        <f>_xlfn.TRANSLATE(Steps[[#This Row],[內容]],"zh-cht","fil")</f>
        <v>Takpan ang kaldero at pakuluan sa mababang init ng 7-10 minuto hanggang luto nang husto ang mga hiwa ng karne</v>
      </c>
      <c r="G56" s="21" t="str">
        <f>_xlfn.TRANSLATE(Steps[[#This Row],[內容]],"zh-cht","id")</f>
        <v>Tutup panci dan didihkan dengan api kecil selama 7-10 menit hingga irisan daging benar-benar matang</v>
      </c>
    </row>
    <row r="57" spans="1:7" ht="17" x14ac:dyDescent="0.4">
      <c r="A57" s="21" t="str">
        <f>_xlfn.XLOOKUP(B57,表格1[ID],表格1[Dish])</f>
        <v>蒜香蒸豬五花高麗菜</v>
      </c>
      <c r="B57" s="1" t="s">
        <v>734</v>
      </c>
      <c r="C57" s="1">
        <v>3</v>
      </c>
      <c r="D57" s="2" t="s">
        <v>878</v>
      </c>
      <c r="E57" s="21" t="str">
        <f>_xlfn.TRANSLATE(Steps[[#This Row],[內容]],"zh-cht","en")</f>
        <v>Mix the first four seasonings with minced garlic and pour over the meat slices.</v>
      </c>
      <c r="F57" s="21" t="str">
        <f>_xlfn.TRANSLATE(Steps[[#This Row],[內容]],"zh-cht","fil")</f>
        <v>Haluin ang unang apat na pampalasa sa giniling na bawang at ibuhos sa ibabaw ng mga hiwa ng karne.</v>
      </c>
      <c r="G57" s="21" t="str">
        <f>_xlfn.TRANSLATE(Steps[[#This Row],[內容]],"zh-cht","id")</f>
        <v>Campurkan empat bumbu pertama dengan bawang putih cincang dan tuangkan di atas irisan daging.</v>
      </c>
    </row>
    <row r="58" spans="1:7" ht="17" x14ac:dyDescent="0.4">
      <c r="A58" s="21" t="str">
        <f>_xlfn.XLOOKUP(B58,表格1[ID],表格1[Dish])</f>
        <v>豆腐肉捲</v>
      </c>
      <c r="B58" s="1" t="s">
        <v>737</v>
      </c>
      <c r="C58" s="1">
        <v>1</v>
      </c>
      <c r="D58" s="2" t="s">
        <v>885</v>
      </c>
      <c r="E58" s="21" t="str">
        <f>_xlfn.TRANSLATE(Steps[[#This Row],[內容]],"zh-cht","en")</f>
        <v>Wrap the tofu strips inside the meat slices and roll them up</v>
      </c>
      <c r="F58" s="21" t="str">
        <f>_xlfn.TRANSLATE(Steps[[#This Row],[內容]],"zh-cht","fil")</f>
        <v>Balutin ang mga hiwa ng tofu sa loob ng mga hiwa ng karne at i-roll ito</v>
      </c>
      <c r="G58" s="21" t="str">
        <f>_xlfn.TRANSLATE(Steps[[#This Row],[內容]],"zh-cht","id")</f>
        <v>Bungkus irisan tahu di dalam irisan daging dan gulung</v>
      </c>
    </row>
    <row r="59" spans="1:7" ht="17" x14ac:dyDescent="0.4">
      <c r="A59" s="21" t="str">
        <f>_xlfn.XLOOKUP(B59,表格1[ID],表格1[Dish])</f>
        <v>豆腐肉捲</v>
      </c>
      <c r="B59" s="1" t="s">
        <v>737</v>
      </c>
      <c r="C59" s="1">
        <v>2</v>
      </c>
      <c r="D59" s="2" t="s">
        <v>886</v>
      </c>
      <c r="E59" s="21" t="str">
        <f>_xlfn.TRANSLATE(Steps[[#This Row],[內容]],"zh-cht","en")</f>
        <v>Heat a small amount of oil in the pan, then pan-fry the meat seams facing down over medium-low heat. If you have leftover tofu, you can also add it to the pan to fry together</v>
      </c>
      <c r="F59" s="21" t="str">
        <f>_xlfn.TRANSLATE(Steps[[#This Row],[內容]],"zh-cht","fil")</f>
        <v>Painitin ang kaunting mantika sa kawali, pagkatapos ay iprito ang mga seam ng karne na nakaharap pababa sa medium-low na init. Kung may natirang tofu, maaari mo rin itong idagdag sa kawali para iprito nang sabay-sabay</v>
      </c>
      <c r="G59" s="21" t="str">
        <f>_xlfn.TRANSLATE(Steps[[#This Row],[內容]],"zh-cht","id")</f>
        <v>Panaskan sedikit minyak di wajan, lalu goreng bagian daging menghadap ke bawah dengan api sedang-rendah. Jika Anda punya tahu sisa, Anda juga bisa menambahkannya ke wajan untuk digoreng bersama</v>
      </c>
    </row>
    <row r="60" spans="1:7" ht="17" x14ac:dyDescent="0.4">
      <c r="A60" s="21" t="str">
        <f>_xlfn.XLOOKUP(B60,表格1[ID],表格1[Dish])</f>
        <v>豆腐肉捲</v>
      </c>
      <c r="B60" s="1" t="s">
        <v>737</v>
      </c>
      <c r="C60" s="1">
        <v>3</v>
      </c>
      <c r="D60" s="2" t="s">
        <v>887</v>
      </c>
      <c r="E60" s="21" t="str">
        <f>_xlfn.TRANSLATE(Steps[[#This Row],[內容]],"zh-cht","en")</f>
        <v>Once every side of the meat is cooked, pour the seasonings over it. Stir the meat occasionally to ensure the sauce absorbs evenly. Once the sauce thickens and the meat rolls are colored and flavorful, it's ready</v>
      </c>
      <c r="F60" s="21" t="str">
        <f>_xlfn.TRANSLATE(Steps[[#This Row],[內容]],"zh-cht","fil")</f>
        <v>Kapag luto na ang bawat gilid ng karne, ibuhos ang mga pampalasa dito. Haluin paminsan-minsan ang karne para pantay ang pagsipsip ng sarsa. Kapag lumapot na ang sarsa at may kulay at lasa na ang meat rolls, handa na ito</v>
      </c>
      <c r="G60" s="21" t="str">
        <f>_xlfn.TRANSLATE(Steps[[#This Row],[內容]],"zh-cht","id")</f>
        <v>Setelah setiap sisi daging matang, tuangkan bumbu di atasnya. Aduk daging sesekali agar saus terserap secara merata. Setelah saus mengental dan daging berwarna serta beraroma lezat, saus siap</v>
      </c>
    </row>
  </sheetData>
  <phoneticPr fontId="2" type="noConversion"/>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0F412-7175-4B8C-93B4-B4DD0A4DEA6F}">
  <dimension ref="A1:F74"/>
  <sheetViews>
    <sheetView topLeftCell="A66" workbookViewId="0">
      <selection activeCell="A74" sqref="A74"/>
    </sheetView>
  </sheetViews>
  <sheetFormatPr defaultColWidth="12.54296875" defaultRowHeight="15.5" x14ac:dyDescent="0.4"/>
  <cols>
    <col min="1" max="1" width="14.7265625" style="1" bestFit="1" customWidth="1"/>
    <col min="2" max="2" width="28.36328125" style="1" bestFit="1" customWidth="1"/>
    <col min="3" max="3" width="32.81640625" style="1" bestFit="1" customWidth="1"/>
    <col min="4" max="4" width="35.7265625" style="1" bestFit="1" customWidth="1"/>
    <col min="5" max="5" width="10.1796875" style="1" bestFit="1" customWidth="1"/>
    <col min="6" max="6" width="14.54296875" style="1" bestFit="1" customWidth="1"/>
    <col min="7" max="16384" width="12.54296875" style="1"/>
  </cols>
  <sheetData>
    <row r="1" spans="1:6" ht="17" x14ac:dyDescent="0.4">
      <c r="A1" s="7" t="s">
        <v>225</v>
      </c>
      <c r="B1" s="7" t="s">
        <v>226</v>
      </c>
      <c r="C1" s="7" t="s">
        <v>223</v>
      </c>
      <c r="D1" s="7" t="s">
        <v>224</v>
      </c>
      <c r="E1" s="7" t="s">
        <v>227</v>
      </c>
      <c r="F1" s="7" t="s">
        <v>228</v>
      </c>
    </row>
    <row r="2" spans="1:6" ht="17" x14ac:dyDescent="0.4">
      <c r="A2" s="2" t="s">
        <v>310</v>
      </c>
      <c r="B2" s="1" t="str">
        <f>_xlfn.TRANSLATE(ingredient_unit[[#This Row],[材料]],"zh-cht","en")</f>
        <v>Superior broth</v>
      </c>
      <c r="C2" s="1" t="str">
        <f>_xlfn.TRANSLATE(ingredient_unit[[#This Row],[材料]],"zh-cht","fil")</f>
        <v>Napakahusay na sabaw</v>
      </c>
      <c r="D2" s="1" t="str">
        <f>_xlfn.TRANSLATE(ingredient_unit[[#This Row],[材料]],"zh-cht","id")</f>
        <v>Kaldu Superior</v>
      </c>
    </row>
    <row r="3" spans="1:6" ht="17" x14ac:dyDescent="0.4">
      <c r="A3" s="2" t="s">
        <v>263</v>
      </c>
      <c r="B3" s="1" t="str">
        <f>_xlfn.TRANSLATE(ingredient_unit[[#This Row],[材料]],"zh-cht","en")</f>
        <v>Vegetable noodles</v>
      </c>
      <c r="C3" s="1" t="str">
        <f>_xlfn.TRANSLATE(ingredient_unit[[#This Row],[材料]],"zh-cht","fil")</f>
        <v>Mga pansit na gulay</v>
      </c>
      <c r="D3" s="1" t="str">
        <f>_xlfn.TRANSLATE(ingredient_unit[[#This Row],[材料]],"zh-cht","id")</f>
        <v>Mie sayur</v>
      </c>
    </row>
    <row r="4" spans="1:6" ht="17" x14ac:dyDescent="0.4">
      <c r="A4" s="2" t="s">
        <v>237</v>
      </c>
      <c r="B4" s="1" t="str">
        <f>_xlfn.TRANSLATE(ingredient_unit[[#This Row],[材料]],"zh-cht","en")</f>
        <v>Pork belly</v>
      </c>
      <c r="C4" s="1" t="str">
        <f>_xlfn.TRANSLATE(ingredient_unit[[#This Row],[材料]],"zh-cht","fil")</f>
        <v>Tiyan ng baboy</v>
      </c>
      <c r="D4" s="1" t="str">
        <f>_xlfn.TRANSLATE(ingredient_unit[[#This Row],[材料]],"zh-cht","id")</f>
        <v>Perut babi</v>
      </c>
    </row>
    <row r="5" spans="1:6" ht="17" x14ac:dyDescent="0.4">
      <c r="A5" s="2" t="s">
        <v>257</v>
      </c>
      <c r="B5" s="1" t="str">
        <f>_xlfn.TRANSLATE(ingredient_unit[[#This Row],[材料]],"zh-cht","en")</f>
        <v>Papaya</v>
      </c>
      <c r="C5" s="1" t="str">
        <f>_xlfn.TRANSLATE(ingredient_unit[[#This Row],[材料]],"zh-cht","fil")</f>
        <v>papaya</v>
      </c>
      <c r="D5" s="1" t="str">
        <f>_xlfn.TRANSLATE(ingredient_unit[[#This Row],[材料]],"zh-cht","id")</f>
        <v>pepaya</v>
      </c>
    </row>
    <row r="6" spans="1:6" ht="17" x14ac:dyDescent="0.4">
      <c r="A6" s="2" t="s">
        <v>240</v>
      </c>
      <c r="B6" s="1" t="str">
        <f>_xlfn.TRANSLATE(ingredient_unit[[#This Row],[材料]],"zh-cht","en")</f>
        <v>Water</v>
      </c>
      <c r="C6" s="1" t="str">
        <f>_xlfn.TRANSLATE(ingredient_unit[[#This Row],[材料]],"zh-cht","fil")</f>
        <v>Tubig</v>
      </c>
      <c r="D6" s="1" t="str">
        <f>_xlfn.TRANSLATE(ingredient_unit[[#This Row],[材料]],"zh-cht","id")</f>
        <v>Air</v>
      </c>
    </row>
    <row r="7" spans="1:6" ht="17" x14ac:dyDescent="0.4">
      <c r="A7" s="2" t="s">
        <v>295</v>
      </c>
      <c r="B7" s="1" t="str">
        <f>_xlfn.TRANSLATE(ingredient_unit[[#This Row],[材料]],"zh-cht","en")</f>
        <v>Milk</v>
      </c>
      <c r="C7" s="1" t="str">
        <f>_xlfn.TRANSLATE(ingredient_unit[[#This Row],[材料]],"zh-cht","fil")</f>
        <v>gatas</v>
      </c>
      <c r="D7" s="1" t="str">
        <f>_xlfn.TRANSLATE(ingredient_unit[[#This Row],[材料]],"zh-cht","id")</f>
        <v>Susu</v>
      </c>
    </row>
    <row r="8" spans="1:6" ht="17" x14ac:dyDescent="0.4">
      <c r="A8" s="2" t="s">
        <v>316</v>
      </c>
      <c r="B8" s="1" t="str">
        <f>_xlfn.TRANSLATE(ingredient_unit[[#This Row],[材料]],"zh-cht","en")</f>
        <v>Butter</v>
      </c>
      <c r="C8" s="1" t="str">
        <f>_xlfn.TRANSLATE(ingredient_unit[[#This Row],[材料]],"zh-cht","fil")</f>
        <v>mantikilya</v>
      </c>
      <c r="D8" s="1" t="str">
        <f>_xlfn.TRANSLATE(ingredient_unit[[#This Row],[材料]],"zh-cht","id")</f>
        <v>mentega</v>
      </c>
    </row>
    <row r="9" spans="1:6" ht="17" x14ac:dyDescent="0.4">
      <c r="A9" s="2" t="s">
        <v>302</v>
      </c>
      <c r="B9" s="1" t="str">
        <f>_xlfn.TRANSLATE(ingredient_unit[[#This Row],[材料]],"zh-cht","en")</f>
        <v>Cloth wrapped in tofu</v>
      </c>
      <c r="C9" s="1" t="str">
        <f>_xlfn.TRANSLATE(ingredient_unit[[#This Row],[材料]],"zh-cht","fil")</f>
        <v>Telang binalot sa tofu</v>
      </c>
      <c r="D9" s="1" t="str">
        <f>_xlfn.TRANSLATE(ingredient_unit[[#This Row],[材料]],"zh-cht","id")</f>
        <v>Kain dibungkus tahu</v>
      </c>
    </row>
    <row r="10" spans="1:6" ht="17" x14ac:dyDescent="0.4">
      <c r="A10" s="2" t="s">
        <v>247</v>
      </c>
      <c r="B10" s="1" t="str">
        <f>_xlfn.TRANSLATE(ingredient_unit[[#This Row],[材料]],"zh-cht","en")</f>
        <v>Cornstarch</v>
      </c>
      <c r="C10" s="1" t="str">
        <f>_xlfn.TRANSLATE(ingredient_unit[[#This Row],[材料]],"zh-cht","fil")</f>
        <v>almirol ng mais</v>
      </c>
      <c r="D10" s="1" t="str">
        <f>_xlfn.TRANSLATE(ingredient_unit[[#This Row],[材料]],"zh-cht","id")</f>
        <v>tepung jagung</v>
      </c>
    </row>
    <row r="11" spans="1:6" ht="17" x14ac:dyDescent="0.4">
      <c r="A11" s="2" t="s">
        <v>304</v>
      </c>
      <c r="B11" s="1" t="str">
        <f>_xlfn.TRANSLATE(ingredient_unit[[#This Row],[材料]],"zh-cht","en")</f>
        <v>White fungus</v>
      </c>
      <c r="C11" s="1" t="str">
        <f>_xlfn.TRANSLATE(ingredient_unit[[#This Row],[材料]],"zh-cht","fil")</f>
        <v>Puting fungus</v>
      </c>
      <c r="D11" s="1" t="str">
        <f>_xlfn.TRANSLATE(ingredient_unit[[#This Row],[材料]],"zh-cht","id")</f>
        <v>Jamur putih</v>
      </c>
    </row>
    <row r="12" spans="1:6" ht="17" x14ac:dyDescent="0.4">
      <c r="A12" s="2" t="s">
        <v>312</v>
      </c>
      <c r="B12" s="1" t="str">
        <f>_xlfn.TRANSLATE(ingredient_unit[[#This Row],[材料]],"zh-cht","en")</f>
        <v>White rice</v>
      </c>
      <c r="C12" s="1" t="str">
        <f>_xlfn.TRANSLATE(ingredient_unit[[#This Row],[材料]],"zh-cht","fil")</f>
        <v>Puting bigas</v>
      </c>
      <c r="D12" s="1" t="str">
        <f>_xlfn.TRANSLATE(ingredient_unit[[#This Row],[材料]],"zh-cht","id")</f>
        <v>Nasi putih</v>
      </c>
    </row>
    <row r="13" spans="1:6" ht="17" x14ac:dyDescent="0.4">
      <c r="A13" t="s">
        <v>355</v>
      </c>
      <c r="B13" s="1" t="str">
        <f>_xlfn.TRANSLATE(ingredient_unit[[#This Row],[材料]],"zh-cht","en")</f>
        <v>Dark soy sauce</v>
      </c>
      <c r="C13" s="1" t="str">
        <f>_xlfn.TRANSLATE(ingredient_unit[[#This Row],[材料]],"zh-cht","fil")</f>
        <v>Madilim na toyo</v>
      </c>
      <c r="D13" s="1" t="str">
        <f>_xlfn.TRANSLATE(ingredient_unit[[#This Row],[材料]],"zh-cht","id")</f>
        <v>Kecap asin gelap</v>
      </c>
    </row>
    <row r="14" spans="1:6" ht="17" x14ac:dyDescent="0.4">
      <c r="A14" s="2" t="s">
        <v>336</v>
      </c>
      <c r="B14" s="1" t="str">
        <f>_xlfn.TRANSLATE(ingredient_unit[[#This Row],[材料]],"zh-cht","en")</f>
        <v>Broccoli</v>
      </c>
      <c r="C14" s="1" t="str">
        <f>_xlfn.TRANSLATE(ingredient_unit[[#This Row],[材料]],"zh-cht","fil")</f>
        <v>brokoli</v>
      </c>
      <c r="D14" s="1" t="str">
        <f>_xlfn.TRANSLATE(ingredient_unit[[#This Row],[材料]],"zh-cht","id")</f>
        <v>brokoli</v>
      </c>
    </row>
    <row r="15" spans="1:6" ht="17" x14ac:dyDescent="0.4">
      <c r="A15" t="s">
        <v>346</v>
      </c>
      <c r="B15" s="1" t="str">
        <f>_xlfn.TRANSLATE(ingredient_unit[[#This Row],[材料]],"zh-cht","en")</f>
        <v>Exempt from preparing meat</v>
      </c>
      <c r="C15" s="1" t="str">
        <f>_xlfn.TRANSLATE(ingredient_unit[[#This Row],[材料]],"zh-cht","fil")</f>
        <v>Exempted sa paghahanda ng karne</v>
      </c>
      <c r="D15" s="1" t="str">
        <f>_xlfn.TRANSLATE(ingredient_unit[[#This Row],[材料]],"zh-cht","id")</f>
        <v>Dibebaskan dari menyiapkan daging</v>
      </c>
    </row>
    <row r="16" spans="1:6" ht="17" x14ac:dyDescent="0.4">
      <c r="A16" s="2" t="s">
        <v>318</v>
      </c>
      <c r="B16" s="1" t="str">
        <f>_xlfn.TRANSLATE(ingredient_unit[[#This Row],[材料]],"zh-cht","en")</f>
        <v>Cream</v>
      </c>
      <c r="C16" s="1" t="str">
        <f>_xlfn.TRANSLATE(ingredient_unit[[#This Row],[材料]],"zh-cht","fil")</f>
        <v>Cream</v>
      </c>
      <c r="D16" s="1" t="str">
        <f>_xlfn.TRANSLATE(ingredient_unit[[#This Row],[材料]],"zh-cht","id")</f>
        <v>Krim</v>
      </c>
    </row>
    <row r="17" spans="1:4" ht="17" x14ac:dyDescent="0.4">
      <c r="A17" s="2" t="s">
        <v>338</v>
      </c>
      <c r="B17" s="1" t="str">
        <f>_xlfn.TRANSLATE(ingredient_unit[[#This Row],[材料]],"zh-cht","en")</f>
        <v>Salad dressing</v>
      </c>
      <c r="C17" s="1" t="str">
        <f>_xlfn.TRANSLATE(ingredient_unit[[#This Row],[材料]],"zh-cht","fil")</f>
        <v>Salad dressing</v>
      </c>
      <c r="D17" s="1" t="str">
        <f>_xlfn.TRANSLATE(ingredient_unit[[#This Row],[材料]],"zh-cht","id")</f>
        <v>Saus salad</v>
      </c>
    </row>
    <row r="18" spans="1:4" ht="17" x14ac:dyDescent="0.4">
      <c r="A18" t="s">
        <v>352</v>
      </c>
      <c r="B18" s="1" t="str">
        <f>_xlfn.TRANSLATE(ingredient_unit[[#This Row],[材料]],"zh-cht","en")</f>
        <v>Fermented black beans</v>
      </c>
      <c r="C18" s="1" t="str">
        <f>_xlfn.TRANSLATE(ingredient_unit[[#This Row],[材料]],"zh-cht","fil")</f>
        <v>Fermented na itim na beans</v>
      </c>
      <c r="D18" s="1" t="str">
        <f>_xlfn.TRANSLATE(ingredient_unit[[#This Row],[材料]],"zh-cht","id")</f>
        <v>Kacang hitam fermentasi</v>
      </c>
    </row>
    <row r="19" spans="1:4" ht="17" x14ac:dyDescent="0.4">
      <c r="A19" t="s">
        <v>347</v>
      </c>
      <c r="B19" s="1" t="str">
        <f>_xlfn.TRANSLATE(ingredient_unit[[#This Row],[材料]],"zh-cht","en")</f>
        <v>Tofu</v>
      </c>
      <c r="C19" s="1" t="str">
        <f>_xlfn.TRANSLATE(ingredient_unit[[#This Row],[材料]],"zh-cht","fil")</f>
        <v>Tofu</v>
      </c>
      <c r="D19" s="1" t="str">
        <f>_xlfn.TRANSLATE(ingredient_unit[[#This Row],[材料]],"zh-cht","id")</f>
        <v>tahu</v>
      </c>
    </row>
    <row r="20" spans="1:4" ht="17" x14ac:dyDescent="0.4">
      <c r="A20" s="2" t="s">
        <v>306</v>
      </c>
      <c r="B20" s="1" t="str">
        <f>_xlfn.TRANSLATE(ingredient_unit[[#This Row],[材料]],"zh-cht","en")</f>
        <v>Curry powder</v>
      </c>
      <c r="C20" s="1" t="str">
        <f>_xlfn.TRANSLATE(ingredient_unit[[#This Row],[材料]],"zh-cht","fil")</f>
        <v>Pulbos ng curry</v>
      </c>
      <c r="D20" s="1" t="str">
        <f>_xlfn.TRANSLATE(ingredient_unit[[#This Row],[材料]],"zh-cht","id")</f>
        <v>Bubuk kari</v>
      </c>
    </row>
    <row r="21" spans="1:4" ht="17" x14ac:dyDescent="0.4">
      <c r="A21" s="2" t="s">
        <v>314</v>
      </c>
      <c r="B21" s="1" t="str">
        <f>_xlfn.TRANSLATE(ingredient_unit[[#This Row],[材料]],"zh-cht","en")</f>
        <v>Cheese</v>
      </c>
      <c r="C21" s="1" t="str">
        <f>_xlfn.TRANSLATE(ingredient_unit[[#This Row],[材料]],"zh-cht","fil")</f>
        <v>Keso</v>
      </c>
      <c r="D21" s="1" t="str">
        <f>_xlfn.TRANSLATE(ingredient_unit[[#This Row],[材料]],"zh-cht","id")</f>
        <v>Keju</v>
      </c>
    </row>
    <row r="22" spans="1:4" ht="17" x14ac:dyDescent="0.4">
      <c r="A22" s="2" t="s">
        <v>340</v>
      </c>
      <c r="B22" s="1" t="str">
        <f>_xlfn.TRANSLATE(ingredient_unit[[#This Row],[材料]],"zh-cht","en")</f>
        <v>Wasabi</v>
      </c>
      <c r="C22" s="1" t="str">
        <f>_xlfn.TRANSLATE(ingredient_unit[[#This Row],[材料]],"zh-cht","fil")</f>
        <v>Wasabi</v>
      </c>
      <c r="D22" s="1" t="str">
        <f>_xlfn.TRANSLATE(ingredient_unit[[#This Row],[材料]],"zh-cht","id")</f>
        <v>Wasabi</v>
      </c>
    </row>
    <row r="23" spans="1:4" ht="17" x14ac:dyDescent="0.4">
      <c r="A23" s="2" t="s">
        <v>358</v>
      </c>
      <c r="B23" s="1" t="str">
        <f>_xlfn.TRANSLATE(ingredient_unit[[#This Row],[材料]],"zh-cht","en")</f>
        <v>Sichuan pepper oil</v>
      </c>
      <c r="C23" s="1" t="str">
        <f>_xlfn.TRANSLATE(ingredient_unit[[#This Row],[材料]],"zh-cht","fil")</f>
        <v>Langis ng Sichuan Pepper</v>
      </c>
      <c r="D23" s="1" t="str">
        <f>_xlfn.TRANSLATE(ingredient_unit[[#This Row],[材料]],"zh-cht","id")</f>
        <v>Minyak lada Sichuan</v>
      </c>
    </row>
    <row r="24" spans="1:4" ht="17" x14ac:dyDescent="0.4">
      <c r="A24" s="2" t="s">
        <v>324</v>
      </c>
      <c r="B24" s="1" t="str">
        <f>_xlfn.TRANSLATE(ingredient_unit[[#This Row],[材料]],"zh-cht","en")</f>
        <v>Carrots</v>
      </c>
      <c r="C24" s="1" t="str">
        <f>_xlfn.TRANSLATE(ingredient_unit[[#This Row],[材料]],"zh-cht","fil")</f>
        <v>Carrots</v>
      </c>
      <c r="D24" s="1" t="str">
        <f>_xlfn.TRANSLATE(ingredient_unit[[#This Row],[材料]],"zh-cht","id")</f>
        <v>Wortel</v>
      </c>
    </row>
    <row r="25" spans="1:4" ht="17" x14ac:dyDescent="0.4">
      <c r="A25" s="2" t="s">
        <v>329</v>
      </c>
      <c r="B25" s="1" t="str">
        <f>_xlfn.TRANSLATE(ingredient_unit[[#This Row],[材料]],"zh-cht","en")</f>
        <v>Pepper powder</v>
      </c>
      <c r="C25" s="1" t="str">
        <f>_xlfn.TRANSLATE(ingredient_unit[[#This Row],[材料]],"zh-cht","fil")</f>
        <v>Pulbos ng paminta</v>
      </c>
      <c r="D25" s="1" t="str">
        <f>_xlfn.TRANSLATE(ingredient_unit[[#This Row],[材料]],"zh-cht","id")</f>
        <v>Bubuk lada</v>
      </c>
    </row>
    <row r="26" spans="1:4" ht="17" x14ac:dyDescent="0.4">
      <c r="A26" s="2" t="s">
        <v>293</v>
      </c>
      <c r="B26" s="1" t="str">
        <f>_xlfn.TRANSLATE(ingredient_unit[[#This Row],[材料]],"zh-cht","en")</f>
        <v>Light cream</v>
      </c>
      <c r="C26" s="1" t="str">
        <f>_xlfn.TRANSLATE(ingredient_unit[[#This Row],[材料]],"zh-cht","fil")</f>
        <v>Maliwanag na cream</v>
      </c>
      <c r="D26" s="1" t="str">
        <f>_xlfn.TRANSLATE(ingredient_unit[[#This Row],[材料]],"zh-cht","id")</f>
        <v>Krim ringan</v>
      </c>
    </row>
    <row r="27" spans="1:4" ht="17" x14ac:dyDescent="0.4">
      <c r="A27" t="s">
        <v>356</v>
      </c>
      <c r="B27" s="1" t="str">
        <f>_xlfn.TRANSLATE(ingredient_unit[[#This Row],[材料]],"zh-cht","en")</f>
        <v>Sesame oil</v>
      </c>
      <c r="C27" s="1" t="str">
        <f>_xlfn.TRANSLATE(ingredient_unit[[#This Row],[材料]],"zh-cht","fil")</f>
        <v>Langis ng linga</v>
      </c>
      <c r="D27" s="1" t="str">
        <f>_xlfn.TRANSLATE(ingredient_unit[[#This Row],[材料]],"zh-cht","id")</f>
        <v>Minyak wijen</v>
      </c>
    </row>
    <row r="28" spans="1:4" ht="17" x14ac:dyDescent="0.4">
      <c r="A28" s="2" t="s">
        <v>363</v>
      </c>
      <c r="B28" s="1" t="str">
        <f>_xlfn.TRANSLATE(ingredient_unit[[#This Row],[材料]],"zh-cht","en")</f>
        <v>Cabbage</v>
      </c>
      <c r="C28" s="1" t="str">
        <f>_xlfn.TRANSLATE(ingredient_unit[[#This Row],[材料]],"zh-cht","fil")</f>
        <v>repolyo</v>
      </c>
      <c r="D28" s="1" t="str">
        <f>_xlfn.TRANSLATE(ingredient_unit[[#This Row],[材料]],"zh-cht","id")</f>
        <v>kubis</v>
      </c>
    </row>
    <row r="29" spans="1:4" ht="17" x14ac:dyDescent="0.4">
      <c r="A29" s="2" t="s">
        <v>291</v>
      </c>
      <c r="B29" s="1" t="str">
        <f>_xlfn.TRANSLATE(ingredient_unit[[#This Row],[材料]],"zh-cht","en")</f>
        <v>Purple sweet potato</v>
      </c>
      <c r="C29" s="1" t="str">
        <f>_xlfn.TRANSLATE(ingredient_unit[[#This Row],[材料]],"zh-cht","fil")</f>
        <v>Lila na kamote</v>
      </c>
      <c r="D29" s="1" t="str">
        <f>_xlfn.TRANSLATE(ingredient_unit[[#This Row],[材料]],"zh-cht","id")</f>
        <v>Ubi jalar ungu</v>
      </c>
    </row>
    <row r="30" spans="1:4" ht="17" x14ac:dyDescent="0.4">
      <c r="A30" s="2" t="s">
        <v>308</v>
      </c>
      <c r="B30" s="1" t="str">
        <f>_xlfn.TRANSLATE(ingredient_unit[[#This Row],[材料]],"zh-cht","en")</f>
        <v>Turmeric powder</v>
      </c>
      <c r="C30" s="1" t="str">
        <f>_xlfn.TRANSLATE(ingredient_unit[[#This Row],[材料]],"zh-cht","fil")</f>
        <v>Pulbos ng luyang dilaw</v>
      </c>
      <c r="D30" s="1" t="str">
        <f>_xlfn.TRANSLATE(ingredient_unit[[#This Row],[材料]],"zh-cht","id")</f>
        <v>Bubuk kunyit</v>
      </c>
    </row>
    <row r="31" spans="1:4" ht="17" x14ac:dyDescent="0.4">
      <c r="A31" t="s">
        <v>353</v>
      </c>
      <c r="B31" s="1" t="str">
        <f>_xlfn.TRANSLATE(ingredient_unit[[#This Row],[材料]],"zh-cht","en")</f>
        <v>Black pepper</v>
      </c>
      <c r="C31" s="1" t="str">
        <f>_xlfn.TRANSLATE(ingredient_unit[[#This Row],[材料]],"zh-cht","fil")</f>
        <v>Itim na paminta</v>
      </c>
      <c r="D31" s="1" t="str">
        <f>_xlfn.TRANSLATE(ingredient_unit[[#This Row],[材料]],"zh-cht","id")</f>
        <v>Lada hitam</v>
      </c>
    </row>
    <row r="32" spans="1:4" ht="17" x14ac:dyDescent="0.4">
      <c r="A32" s="2" t="s">
        <v>261</v>
      </c>
      <c r="B32" s="1" t="str">
        <f>_xlfn.TRANSLATE(ingredient_unit[[#This Row],[材料]],"zh-cht","en")</f>
        <v>Coconut water</v>
      </c>
      <c r="C32" s="1" t="str">
        <f>_xlfn.TRANSLATE(ingredient_unit[[#This Row],[材料]],"zh-cht","fil")</f>
        <v>Tubig ng niyog</v>
      </c>
      <c r="D32" s="1" t="str">
        <f>_xlfn.TRANSLATE(ingredient_unit[[#This Row],[材料]],"zh-cht","id")</f>
        <v>Air kelapa</v>
      </c>
    </row>
    <row r="33" spans="1:6" ht="17" x14ac:dyDescent="0.4">
      <c r="A33" s="2" t="s">
        <v>259</v>
      </c>
      <c r="B33" s="1" t="str">
        <f>_xlfn.TRANSLATE(ingredient_unit[[#This Row],[材料]],"zh-cht","en")</f>
        <v>Coconut milk</v>
      </c>
      <c r="C33" s="1" t="str">
        <f>_xlfn.TRANSLATE(ingredient_unit[[#This Row],[材料]],"zh-cht","fil")</f>
        <v>Gatas ng niyog</v>
      </c>
      <c r="D33" s="1" t="str">
        <f>_xlfn.TRANSLATE(ingredient_unit[[#This Row],[材料]],"zh-cht","id")</f>
        <v>santan</v>
      </c>
    </row>
    <row r="34" spans="1:6" ht="17" x14ac:dyDescent="0.4">
      <c r="A34" s="2" t="s">
        <v>248</v>
      </c>
      <c r="B34" s="1" t="str">
        <f>_xlfn.TRANSLATE(ingredient_unit[[#This Row],[材料]],"zh-cht","en")</f>
        <v>Scallions</v>
      </c>
      <c r="C34" s="1" t="str">
        <f>_xlfn.TRANSLATE(ingredient_unit[[#This Row],[材料]],"zh-cht","fil")</f>
        <v>mga sibuyas</v>
      </c>
      <c r="D34" s="1" t="str">
        <f>_xlfn.TRANSLATE(ingredient_unit[[#This Row],[材料]],"zh-cht","id")</f>
        <v>daun bawang</v>
      </c>
    </row>
    <row r="35" spans="1:6" ht="17" x14ac:dyDescent="0.4">
      <c r="A35" s="2" t="s">
        <v>447</v>
      </c>
      <c r="B35" s="1" t="str">
        <f>_xlfn.TRANSLATE(ingredient_unit[[#This Row],[材料]],"zh-cht","en")</f>
        <v>Light soy sauce</v>
      </c>
      <c r="C35" s="1" t="str">
        <f>_xlfn.TRANSLATE(ingredient_unit[[#This Row],[材料]],"zh-cht","fil")</f>
        <v>Magaan na toyo</v>
      </c>
      <c r="D35" s="1" t="str">
        <f>_xlfn.TRANSLATE(ingredient_unit[[#This Row],[材料]],"zh-cht","id")</f>
        <v>Kecap asin ringan</v>
      </c>
    </row>
    <row r="36" spans="1:6" ht="17" x14ac:dyDescent="0.4">
      <c r="A36" t="s">
        <v>348</v>
      </c>
      <c r="B36" s="1" t="str">
        <f>_xlfn.TRANSLATE(ingredient_unit[[#This Row],[材料]],"zh-cht","en")</f>
        <v>Pickled mustard greens</v>
      </c>
      <c r="C36" s="1" t="str">
        <f>_xlfn.TRANSLATE(ingredient_unit[[#This Row],[材料]],"zh-cht","fil")</f>
        <v>Pickled mustard greens</v>
      </c>
      <c r="D36" s="1" t="str">
        <f>_xlfn.TRANSLATE(ingredient_unit[[#This Row],[材料]],"zh-cht","id")</f>
        <v>Daun mustard acar</v>
      </c>
    </row>
    <row r="37" spans="1:6" ht="17" x14ac:dyDescent="0.4">
      <c r="A37" s="2" t="s">
        <v>351</v>
      </c>
      <c r="B37" s="1" t="str">
        <f>_xlfn.TRANSLATE(ingredient_unit[[#This Row],[材料]],"zh-cht","en")</f>
        <v>Garlic paste</v>
      </c>
      <c r="C37" s="1" t="str">
        <f>_xlfn.TRANSLATE(ingredient_unit[[#This Row],[材料]],"zh-cht","fil")</f>
        <v>Garlic paste</v>
      </c>
      <c r="D37" s="1" t="str">
        <f>_xlfn.TRANSLATE(ingredient_unit[[#This Row],[材料]],"zh-cht","id")</f>
        <v>Pasta bawang putih</v>
      </c>
    </row>
    <row r="38" spans="1:6" ht="17" x14ac:dyDescent="0.4">
      <c r="A38" s="2" t="s">
        <v>297</v>
      </c>
      <c r="B38" s="1" t="str">
        <f>_xlfn.TRANSLATE(ingredient_unit[[#This Row],[材料]],"zh-cht","en")</f>
        <v>Konjac powder</v>
      </c>
      <c r="C38" s="1" t="str">
        <f>_xlfn.TRANSLATE(ingredient_unit[[#This Row],[材料]],"zh-cht","fil")</f>
        <v>Konjac powder</v>
      </c>
      <c r="D38" s="1" t="str">
        <f>_xlfn.TRANSLATE(ingredient_unit[[#This Row],[材料]],"zh-cht","id")</f>
        <v>Serbuk Konjac</v>
      </c>
    </row>
    <row r="39" spans="1:6" ht="17" x14ac:dyDescent="0.4">
      <c r="A39" s="2" t="s">
        <v>342</v>
      </c>
      <c r="B39" s="1" t="str">
        <f>_xlfn.TRANSLATE(ingredient_unit[[#This Row],[材料]],"zh-cht","en")</f>
        <v>Honey</v>
      </c>
      <c r="C39" s="1" t="str">
        <f>_xlfn.TRANSLATE(ingredient_unit[[#This Row],[材料]],"zh-cht","fil")</f>
        <v>Honey</v>
      </c>
      <c r="D39" s="1" t="str">
        <f>_xlfn.TRANSLATE(ingredient_unit[[#This Row],[材料]],"zh-cht","id")</f>
        <v>Madu</v>
      </c>
    </row>
    <row r="40" spans="1:6" ht="17" x14ac:dyDescent="0.4">
      <c r="A40" t="s">
        <v>354</v>
      </c>
      <c r="B40" s="1" t="str">
        <f>_xlfn.TRANSLATE(ingredient_unit[[#This Row],[材料]],"zh-cht","en")</f>
        <v>Spicy broad bean paste</v>
      </c>
      <c r="C40" s="1" t="str">
        <f>_xlfn.TRANSLATE(ingredient_unit[[#This Row],[材料]],"zh-cht","fil")</f>
        <v>Maanghang na broad bean paste</v>
      </c>
      <c r="D40" s="1" t="str">
        <f>_xlfn.TRANSLATE(ingredient_unit[[#This Row],[材料]],"zh-cht","id")</f>
        <v>Pasta kacang lebar pedas</v>
      </c>
    </row>
    <row r="41" spans="1:6" ht="17" x14ac:dyDescent="0.4">
      <c r="A41" s="2" t="s">
        <v>238</v>
      </c>
      <c r="B41" s="1" t="str">
        <f>_xlfn.TRANSLATE(ingredient_unit[[#This Row],[材料]],"zh-cht","en")</f>
        <v>Oats</v>
      </c>
      <c r="C41" s="1" t="str">
        <f>_xlfn.TRANSLATE(ingredient_unit[[#This Row],[材料]],"zh-cht","fil")</f>
        <v>oats</v>
      </c>
      <c r="D41" s="1" t="str">
        <f>_xlfn.TRANSLATE(ingredient_unit[[#This Row],[材料]],"zh-cht","id")</f>
        <v>Gandum</v>
      </c>
    </row>
    <row r="42" spans="1:6" ht="17" x14ac:dyDescent="0.4">
      <c r="A42" s="2" t="s">
        <v>245</v>
      </c>
      <c r="B42" s="1" t="str">
        <f>_xlfn.TRANSLATE(ingredient_unit[[#This Row],[材料]],"zh-cht","en")</f>
        <v>Sugar</v>
      </c>
      <c r="C42" s="1" t="str">
        <f>_xlfn.TRANSLATE(ingredient_unit[[#This Row],[材料]],"zh-cht","fil")</f>
        <v>Asukal</v>
      </c>
      <c r="D42" s="1" t="str">
        <f>_xlfn.TRANSLATE(ingredient_unit[[#This Row],[材料]],"zh-cht","id")</f>
        <v>gula</v>
      </c>
    </row>
    <row r="43" spans="1:6" ht="17" x14ac:dyDescent="0.4">
      <c r="A43" s="2" t="s">
        <v>320</v>
      </c>
      <c r="B43" s="1" t="str">
        <f>_xlfn.TRANSLATE(ingredient_unit[[#This Row],[材料]],"zh-cht","en")</f>
        <v>Tomatoes</v>
      </c>
      <c r="C43" s="1" t="str">
        <f>_xlfn.TRANSLATE(ingredient_unit[[#This Row],[材料]],"zh-cht","fil")</f>
        <v>Kamatis</v>
      </c>
      <c r="D43" s="1" t="str">
        <f>_xlfn.TRANSLATE(ingredient_unit[[#This Row],[材料]],"zh-cht","id")</f>
        <v>Tomat</v>
      </c>
    </row>
    <row r="44" spans="1:6" ht="17" x14ac:dyDescent="0.4">
      <c r="A44" s="2" t="s">
        <v>331</v>
      </c>
      <c r="B44" s="1" t="str">
        <f>_xlfn.TRANSLATE(ingredient_unit[[#This Row],[材料]],"zh-cht","en")</f>
        <v>Tomato butter</v>
      </c>
      <c r="C44" s="1" t="str">
        <f>_xlfn.TRANSLATE(ingredient_unit[[#This Row],[材料]],"zh-cht","fil")</f>
        <v>Mantikilya ng kamatis</v>
      </c>
      <c r="D44" s="1" t="str">
        <f>_xlfn.TRANSLATE(ingredient_unit[[#This Row],[材料]],"zh-cht","id")</f>
        <v>Mentega tomat</v>
      </c>
    </row>
    <row r="45" spans="1:6" ht="17" x14ac:dyDescent="0.4">
      <c r="A45" s="2" t="s">
        <v>334</v>
      </c>
      <c r="B45" s="1" t="str">
        <f>_xlfn.TRANSLATE(ingredient_unit[[#This Row],[材料]],"zh-cht","en")</f>
        <v>Dinner rolls</v>
      </c>
      <c r="C45" s="1" t="str">
        <f>_xlfn.TRANSLATE(ingredient_unit[[#This Row],[材料]],"zh-cht","fil")</f>
        <v>Mga tinapay sa hapunan</v>
      </c>
      <c r="D45" s="1" t="str">
        <f>_xlfn.TRANSLATE(ingredient_unit[[#This Row],[材料]],"zh-cht","id")</f>
        <v>Roti makan malam</v>
      </c>
    </row>
    <row r="46" spans="1:6" ht="17" x14ac:dyDescent="0.4">
      <c r="A46" t="s">
        <v>349</v>
      </c>
      <c r="B46" s="1" t="str">
        <f>_xlfn.TRANSLATE(ingredient_unit[[#This Row],[材料]],"zh-cht","en")</f>
        <v>Jiang Rong</v>
      </c>
      <c r="C46" s="1" t="str">
        <f>_xlfn.TRANSLATE(ingredient_unit[[#This Row],[材料]],"zh-cht","fil")</f>
        <v>Jiang Rong</v>
      </c>
      <c r="D46" s="1" t="str">
        <f>_xlfn.TRANSLATE(ingredient_unit[[#This Row],[材料]],"zh-cht","id")</f>
        <v>Jiang Rong</v>
      </c>
    </row>
    <row r="47" spans="1:6" ht="17" x14ac:dyDescent="0.4">
      <c r="A47" s="2" t="s">
        <v>322</v>
      </c>
      <c r="B47" s="1" t="str">
        <f>_xlfn.TRANSLATE(ingredient_unit[[#This Row],[材料]],"zh-cht","en")</f>
        <v>Potatoes</v>
      </c>
      <c r="C47" s="1" t="str">
        <f>_xlfn.TRANSLATE(ingredient_unit[[#This Row],[材料]],"zh-cht","fil")</f>
        <v>Patatas</v>
      </c>
      <c r="D47" s="1" t="str">
        <f>_xlfn.TRANSLATE(ingredient_unit[[#This Row],[材料]],"zh-cht","id")</f>
        <v>kentang</v>
      </c>
    </row>
    <row r="48" spans="1:6" ht="17" x14ac:dyDescent="0.4">
      <c r="A48" t="s">
        <v>229</v>
      </c>
      <c r="B48" s="1" t="str">
        <f>_xlfn.TRANSLATE(ingredient_unit[[#This Row],[材料]],"zh-cht","en")</f>
        <v>Eggs</v>
      </c>
      <c r="C48" s="1" t="str">
        <f>_xlfn.TRANSLATE(ingredient_unit[[#This Row],[材料]],"zh-cht","fil")</f>
        <v>Mga Itlog</v>
      </c>
      <c r="D48" s="1" t="str">
        <f>_xlfn.TRANSLATE(ingredient_unit[[#This Row],[材料]],"zh-cht","id")</f>
        <v>telur</v>
      </c>
      <c r="F48" s="2" t="s">
        <v>230</v>
      </c>
    </row>
    <row r="49" spans="1:4" ht="17" x14ac:dyDescent="0.4">
      <c r="A49" s="2" t="s">
        <v>327</v>
      </c>
      <c r="B49" s="1" t="str">
        <f>_xlfn.TRANSLATE(ingredient_unit[[#This Row],[材料]],"zh-cht","en")</f>
        <v>Mushrooms</v>
      </c>
      <c r="C49" s="1" t="str">
        <f>_xlfn.TRANSLATE(ingredient_unit[[#This Row],[材料]],"zh-cht","fil")</f>
        <v>kabute</v>
      </c>
      <c r="D49" s="1" t="str">
        <f>_xlfn.TRANSLATE(ingredient_unit[[#This Row],[材料]],"zh-cht","id")</f>
        <v>jamur</v>
      </c>
    </row>
    <row r="50" spans="1:4" ht="17" x14ac:dyDescent="0.4">
      <c r="A50" s="2" t="s">
        <v>243</v>
      </c>
      <c r="B50" s="1" t="str">
        <f>_xlfn.TRANSLATE(ingredient_unit[[#This Row],[材料]],"zh-cht","en")</f>
        <v>Salt</v>
      </c>
      <c r="C50" s="1" t="str">
        <f>_xlfn.TRANSLATE(ingredient_unit[[#This Row],[材料]],"zh-cht","fil")</f>
        <v>Asin</v>
      </c>
      <c r="D50" s="1" t="str">
        <f>_xlfn.TRANSLATE(ingredient_unit[[#This Row],[材料]],"zh-cht","id")</f>
        <v>Garam</v>
      </c>
    </row>
    <row r="51" spans="1:4" ht="17" x14ac:dyDescent="0.4">
      <c r="A51" s="2" t="s">
        <v>392</v>
      </c>
      <c r="B51" s="1" t="str">
        <f>_xlfn.TRANSLATE(ingredient_unit[[#This Row],[材料]],"zh-cht","en")</f>
        <v>Eggplant</v>
      </c>
      <c r="C51" s="1" t="str">
        <f>_xlfn.TRANSLATE(ingredient_unit[[#This Row],[材料]],"zh-cht","fil")</f>
        <v>talong</v>
      </c>
      <c r="D51" s="1" t="str">
        <f>_xlfn.TRANSLATE(ingredient_unit[[#This Row],[材料]],"zh-cht","id")</f>
        <v>terong</v>
      </c>
    </row>
    <row r="52" spans="1:4" ht="17" x14ac:dyDescent="0.4">
      <c r="A52" s="2" t="s">
        <v>360</v>
      </c>
      <c r="B52" s="1" t="str">
        <f>_xlfn.TRANSLATE(ingredient_unit[[#This Row],[材料]],"zh-cht","en")</f>
        <v>Chicken powder</v>
      </c>
      <c r="C52" s="1" t="str">
        <f>_xlfn.TRANSLATE(ingredient_unit[[#This Row],[材料]],"zh-cht","fil")</f>
        <v>Pulbos ng manok</v>
      </c>
      <c r="D52" s="1" t="str">
        <f>_xlfn.TRANSLATE(ingredient_unit[[#This Row],[材料]],"zh-cht","id")</f>
        <v>Bubuk ayam</v>
      </c>
    </row>
    <row r="53" spans="1:4" ht="17" x14ac:dyDescent="0.4">
      <c r="A53" s="2" t="s">
        <v>414</v>
      </c>
      <c r="B53" s="1" t="str">
        <f>_xlfn.TRANSLATE(ingredient_unit[[#This Row],[材料]],"zh-cht","en")</f>
        <v>Century eggs</v>
      </c>
      <c r="C53" s="1" t="str">
        <f>_xlfn.TRANSLATE(ingredient_unit[[#This Row],[材料]],"zh-cht","fil")</f>
        <v>Century eggs</v>
      </c>
      <c r="D53" s="1" t="str">
        <f>_xlfn.TRANSLATE(ingredient_unit[[#This Row],[材料]],"zh-cht","id")</f>
        <v>Telur abad</v>
      </c>
    </row>
    <row r="54" spans="1:4" ht="17" x14ac:dyDescent="0.4">
      <c r="A54" s="2" t="s">
        <v>416</v>
      </c>
      <c r="B54" s="1" t="str">
        <f>_xlfn.TRANSLATE(ingredient_unit[[#This Row],[材料]],"zh-cht","en")</f>
        <v>Salted eggs</v>
      </c>
      <c r="C54" s="1" t="str">
        <f>_xlfn.TRANSLATE(ingredient_unit[[#This Row],[材料]],"zh-cht","fil")</f>
        <v>Mga itlog na may alat</v>
      </c>
      <c r="D54" s="1" t="str">
        <f>_xlfn.TRANSLATE(ingredient_unit[[#This Row],[材料]],"zh-cht","id")</f>
        <v>Telur asin</v>
      </c>
    </row>
    <row r="55" spans="1:4" ht="17" x14ac:dyDescent="0.4">
      <c r="A55" s="2" t="s">
        <v>418</v>
      </c>
      <c r="B55" s="1" t="str">
        <f>_xlfn.TRANSLATE(ingredient_unit[[#This Row],[材料]],"zh-cht","en")</f>
        <v>Spinach</v>
      </c>
      <c r="C55" s="1" t="str">
        <f>_xlfn.TRANSLATE(ingredient_unit[[#This Row],[材料]],"zh-cht","fil")</f>
        <v>spinach</v>
      </c>
      <c r="D55" s="1" t="str">
        <f>_xlfn.TRANSLATE(ingredient_unit[[#This Row],[材料]],"zh-cht","id")</f>
        <v>Bayam</v>
      </c>
    </row>
    <row r="56" spans="1:4" ht="17" x14ac:dyDescent="0.4">
      <c r="A56" s="2" t="s">
        <v>420</v>
      </c>
      <c r="B56" s="1" t="str">
        <f>_xlfn.TRANSLATE(ingredient_unit[[#This Row],[材料]],"zh-cht","en")</f>
        <v>Garlic</v>
      </c>
      <c r="C56" s="1" t="str">
        <f>_xlfn.TRANSLATE(ingredient_unit[[#This Row],[材料]],"zh-cht","fil")</f>
        <v>bawang</v>
      </c>
      <c r="D56" s="1" t="str">
        <f>_xlfn.TRANSLATE(ingredient_unit[[#This Row],[材料]],"zh-cht","id")</f>
        <v>bawang putih</v>
      </c>
    </row>
    <row r="57" spans="1:4" ht="17" x14ac:dyDescent="0.4">
      <c r="A57" s="2" t="s">
        <v>426</v>
      </c>
      <c r="B57" s="1" t="str">
        <f>_xlfn.TRANSLATE(ingredient_unit[[#This Row],[材料]],"zh-cht","en")</f>
        <v>Barrel oysters</v>
      </c>
      <c r="C57" s="1" t="str">
        <f>_xlfn.TRANSLATE(ingredient_unit[[#This Row],[材料]],"zh-cht","fil")</f>
        <v>Barrel oysters</v>
      </c>
      <c r="D57" s="1" t="str">
        <f>_xlfn.TRANSLATE(ingredient_unit[[#This Row],[材料]],"zh-cht","id")</f>
        <v>Tiram tong</v>
      </c>
    </row>
    <row r="58" spans="1:4" ht="17" x14ac:dyDescent="0.4">
      <c r="A58" s="2" t="s">
        <v>428</v>
      </c>
      <c r="B58" s="1" t="str">
        <f>_xlfn.TRANSLATE(ingredient_unit[[#This Row],[材料]],"zh-cht","en")</f>
        <v>Ginger</v>
      </c>
      <c r="C58" s="1" t="str">
        <f>_xlfn.TRANSLATE(ingredient_unit[[#This Row],[材料]],"zh-cht","fil")</f>
        <v>luya</v>
      </c>
      <c r="D58" s="1" t="str">
        <f>_xlfn.TRANSLATE(ingredient_unit[[#This Row],[材料]],"zh-cht","id")</f>
        <v>jahe</v>
      </c>
    </row>
    <row r="59" spans="1:4" ht="17" x14ac:dyDescent="0.4">
      <c r="A59" s="2" t="s">
        <v>430</v>
      </c>
      <c r="B59" s="1" t="str">
        <f>_xlfn.TRANSLATE(ingredient_unit[[#This Row],[材料]],"zh-cht","en")</f>
        <v>Oyster sauce</v>
      </c>
      <c r="C59" s="1" t="str">
        <f>_xlfn.TRANSLATE(ingredient_unit[[#This Row],[材料]],"zh-cht","fil")</f>
        <v>Sarsa ng talaba</v>
      </c>
      <c r="D59" s="1" t="str">
        <f>_xlfn.TRANSLATE(ingredient_unit[[#This Row],[材料]],"zh-cht","id")</f>
        <v>Saus tiram</v>
      </c>
    </row>
    <row r="60" spans="1:4" ht="17" x14ac:dyDescent="0.4">
      <c r="A60" s="2" t="s">
        <v>432</v>
      </c>
      <c r="B60" s="1" t="str">
        <f>_xlfn.TRANSLATE(ingredient_unit[[#This Row],[材料]],"zh-cht","en")</f>
        <v>Shaoxing wine</v>
      </c>
      <c r="C60" s="1" t="str">
        <f>_xlfn.TRANSLATE(ingredient_unit[[#This Row],[材料]],"zh-cht","fil")</f>
        <v>Alak ng Shaoxing</v>
      </c>
      <c r="D60" s="1" t="str">
        <f>_xlfn.TRANSLATE(ingredient_unit[[#This Row],[材料]],"zh-cht","id")</f>
        <v>Anggur Shaoxing</v>
      </c>
    </row>
    <row r="61" spans="1:4" ht="17" x14ac:dyDescent="0.4">
      <c r="A61" s="2" t="s">
        <v>437</v>
      </c>
      <c r="B61" s="1" t="str">
        <f>_xlfn.TRANSLATE(ingredient_unit[[#This Row],[材料]],"zh-cht","en")</f>
        <v>Chicken wings</v>
      </c>
      <c r="C61" s="1" t="str">
        <f>_xlfn.TRANSLATE(ingredient_unit[[#This Row],[材料]],"zh-cht","fil")</f>
        <v>Pakpak ng manok</v>
      </c>
      <c r="D61" s="1" t="str">
        <f>_xlfn.TRANSLATE(ingredient_unit[[#This Row],[材料]],"zh-cht","id")</f>
        <v>Sayap ayam</v>
      </c>
    </row>
    <row r="62" spans="1:4" ht="17" x14ac:dyDescent="0.4">
      <c r="A62" s="2" t="s">
        <v>439</v>
      </c>
      <c r="B62" s="1" t="str">
        <f>_xlfn.TRANSLATE(ingredient_unit[[#This Row],[材料]],"zh-cht","en")</f>
        <v>Black sesame</v>
      </c>
      <c r="C62" s="1" t="str">
        <f>_xlfn.TRANSLATE(ingredient_unit[[#This Row],[材料]],"zh-cht","fil")</f>
        <v>Itim na linga</v>
      </c>
      <c r="D62" s="1" t="str">
        <f>_xlfn.TRANSLATE(ingredient_unit[[#This Row],[材料]],"zh-cht","id")</f>
        <v>Wijen hitam</v>
      </c>
    </row>
    <row r="63" spans="1:4" ht="17" x14ac:dyDescent="0.4">
      <c r="A63" s="2" t="s">
        <v>441</v>
      </c>
      <c r="B63" s="1" t="str">
        <f>_xlfn.TRANSLATE(ingredient_unit[[#This Row],[材料]],"zh-cht","en")</f>
        <v>Garlic salt</v>
      </c>
      <c r="C63" s="1" t="str">
        <f>_xlfn.TRANSLATE(ingredient_unit[[#This Row],[材料]],"zh-cht","fil")</f>
        <v>Asin ng bawang</v>
      </c>
      <c r="D63" s="1" t="str">
        <f>_xlfn.TRANSLATE(ingredient_unit[[#This Row],[材料]],"zh-cht","id")</f>
        <v>Garam bawang putih</v>
      </c>
    </row>
    <row r="64" spans="1:4" ht="17" x14ac:dyDescent="0.4">
      <c r="A64" s="2" t="s">
        <v>443</v>
      </c>
      <c r="B64" s="1" t="str">
        <f>_xlfn.TRANSLATE(ingredient_unit[[#This Row],[材料]],"zh-cht","en")</f>
        <v>Cumin powder</v>
      </c>
      <c r="C64" s="1" t="str">
        <f>_xlfn.TRANSLATE(ingredient_unit[[#This Row],[材料]],"zh-cht","fil")</f>
        <v>Pulbos ng cumin</v>
      </c>
      <c r="D64" s="1" t="str">
        <f>_xlfn.TRANSLATE(ingredient_unit[[#This Row],[材料]],"zh-cht","id")</f>
        <v>Bubuk jintan</v>
      </c>
    </row>
    <row r="65" spans="1:4" ht="17" x14ac:dyDescent="0.4">
      <c r="A65" s="2" t="s">
        <v>445</v>
      </c>
      <c r="B65" s="1" t="str">
        <f>_xlfn.TRANSLATE(ingredient_unit[[#This Row],[材料]],"zh-cht","en")</f>
        <v>Five-spice powder</v>
      </c>
      <c r="C65" s="1" t="str">
        <f>_xlfn.TRANSLATE(ingredient_unit[[#This Row],[材料]],"zh-cht","fil")</f>
        <v>Pulbos na may limang pampalasa</v>
      </c>
      <c r="D65" s="1" t="str">
        <f>_xlfn.TRANSLATE(ingredient_unit[[#This Row],[材料]],"zh-cht","id")</f>
        <v>Bubuk lima rempah</v>
      </c>
    </row>
    <row r="66" spans="1:4" ht="17" x14ac:dyDescent="0.4">
      <c r="A66" s="2" t="s">
        <v>462</v>
      </c>
      <c r="B66" s="1" t="s">
        <v>869</v>
      </c>
      <c r="C66" s="1" t="str">
        <f>_xlfn.TRANSLATE(ingredient_unit[[#This Row],[材料]],"zh-cht","fil")</f>
        <v>Mga tainga ng pusa</v>
      </c>
      <c r="D66" s="1" t="str">
        <f>_xlfn.TRANSLATE(ingredient_unit[[#This Row],[材料]],"zh-cht","id")</f>
        <v>Telinga kucing</v>
      </c>
    </row>
    <row r="67" spans="1:4" ht="17" x14ac:dyDescent="0.4">
      <c r="A67" s="2" t="s">
        <v>464</v>
      </c>
      <c r="B67" s="1" t="str">
        <f>_xlfn.TRANSLATE(ingredient_unit[[#This Row],[材料]],"zh-cht","en")</f>
        <v>Aged vinegar</v>
      </c>
      <c r="C67" s="1" t="str">
        <f>_xlfn.TRANSLATE(ingredient_unit[[#This Row],[材料]],"zh-cht","fil")</f>
        <v>Lumang suka</v>
      </c>
      <c r="D67" s="1" t="str">
        <f>_xlfn.TRANSLATE(ingredient_unit[[#This Row],[材料]],"zh-cht","id")</f>
        <v>Cuka tua</v>
      </c>
    </row>
    <row r="68" spans="1:4" ht="17" x14ac:dyDescent="0.4">
      <c r="A68" s="2" t="s">
        <v>703</v>
      </c>
      <c r="B68" s="1" t="str">
        <f>_xlfn.TRANSLATE(ingredient_unit[[#This Row],[材料]],"zh-cht","en")</f>
        <v>Chinese egg tofu</v>
      </c>
      <c r="C68" s="1" t="str">
        <f>_xlfn.TRANSLATE(ingredient_unit[[#This Row],[材料]],"zh-cht","fil")</f>
        <v>Tsino na itlog na tofu</v>
      </c>
      <c r="D68" s="1" t="str">
        <f>_xlfn.TRANSLATE(ingredient_unit[[#This Row],[材料]],"zh-cht","id")</f>
        <v>tahu telur Cina</v>
      </c>
    </row>
    <row r="69" spans="1:4" ht="17" x14ac:dyDescent="0.4">
      <c r="A69" s="2" t="s">
        <v>864</v>
      </c>
      <c r="B69" s="1" t="str">
        <f>_xlfn.TRANSLATE(ingredient_unit[[#This Row],[材料]],"zh-cht","en")</f>
        <v>Thin slices of pork belly</v>
      </c>
      <c r="C69" s="1" t="str">
        <f>_xlfn.TRANSLATE(ingredient_unit[[#This Row],[材料]],"zh-cht","fil")</f>
        <v>Manipis na hiwa ng pork belly</v>
      </c>
      <c r="D69" s="1" t="str">
        <f>_xlfn.TRANSLATE(ingredient_unit[[#This Row],[材料]],"zh-cht","id")</f>
        <v>Irisan tipis perut babi</v>
      </c>
    </row>
    <row r="70" spans="1:4" ht="17" x14ac:dyDescent="0.4">
      <c r="A70" s="2" t="s">
        <v>866</v>
      </c>
      <c r="B70" s="1" t="str">
        <f>_xlfn.TRANSLATE(ingredient_unit[[#This Row],[材料]],"zh-cht","en")</f>
        <v>White vinegar</v>
      </c>
      <c r="C70" s="1" t="str">
        <f>_xlfn.TRANSLATE(ingredient_unit[[#This Row],[材料]],"zh-cht","fil")</f>
        <v>Puting suka</v>
      </c>
      <c r="D70" s="1" t="str">
        <f>_xlfn.TRANSLATE(ingredient_unit[[#This Row],[材料]],"zh-cht","id")</f>
        <v>Cuka putih</v>
      </c>
    </row>
    <row r="71" spans="1:4" ht="17" x14ac:dyDescent="0.4">
      <c r="A71" s="2" t="s">
        <v>868</v>
      </c>
      <c r="B71" s="1" t="str">
        <f>_xlfn.TRANSLATE(ingredient_unit[[#This Row],[材料]],"zh-cht","en")</f>
        <v>Sesame oil</v>
      </c>
      <c r="C71" s="1" t="str">
        <f>_xlfn.TRANSLATE(ingredient_unit[[#This Row],[材料]],"zh-cht","fil")</f>
        <v>Langis ng linga</v>
      </c>
      <c r="D71" s="1" t="str">
        <f>_xlfn.TRANSLATE(ingredient_unit[[#This Row],[材料]],"zh-cht","id")</f>
        <v>Minyak wijen</v>
      </c>
    </row>
    <row r="72" spans="1:4" ht="17" x14ac:dyDescent="0.4">
      <c r="A72" s="2" t="s">
        <v>880</v>
      </c>
      <c r="B72" s="1" t="str">
        <f>_xlfn.TRANSLATE(ingredient_unit[[#This Row],[材料]],"zh-cht","en")</f>
        <v>Thinly sliced pork shoulder</v>
      </c>
      <c r="C72" s="21" t="str">
        <f>_xlfn.TRANSLATE(ingredient_unit[[#This Row],[材料]],"zh-cht","fil")</f>
        <v>Manipis na hiniwang balikat ng baboy</v>
      </c>
      <c r="D72" s="1" t="str">
        <f>_xlfn.TRANSLATE(ingredient_unit[[#This Row],[材料]],"zh-cht","id")</f>
        <v>Bahu babi iris tipis</v>
      </c>
    </row>
    <row r="73" spans="1:4" ht="17" x14ac:dyDescent="0.4">
      <c r="A73" s="2" t="s">
        <v>882</v>
      </c>
      <c r="C73" s="21" t="str">
        <f>_xlfn.TRANSLATE(ingredient_unit[[#This Row],[材料]],"zh-cht","fil")</f>
        <v>Matibay na tofu</v>
      </c>
      <c r="D73" s="21" t="str">
        <f>_xlfn.TRANSLATE(ingredient_unit[[#This Row],[材料]],"zh-cht","id")</f>
        <v>Tahu padat</v>
      </c>
    </row>
    <row r="74" spans="1:4" x14ac:dyDescent="0.4">
      <c r="A74" s="24" t="s">
        <v>884</v>
      </c>
      <c r="C74" s="21" t="str">
        <f>_xlfn.TRANSLATE(ingredient_unit[[#This Row],[材料]],"zh-cht","fil")</f>
        <v>Mirin</v>
      </c>
      <c r="D74" s="21" t="str">
        <f>_xlfn.TRANSLATE(ingredient_unit[[#This Row],[材料]],"zh-cht","id")</f>
        <v>mirin</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68BE8-BBDC-4718-ACF0-5E3D83DB959E}">
  <dimension ref="A1:F12"/>
  <sheetViews>
    <sheetView workbookViewId="0">
      <selection activeCell="C9" sqref="C9"/>
    </sheetView>
  </sheetViews>
  <sheetFormatPr defaultRowHeight="17" x14ac:dyDescent="0.4"/>
  <cols>
    <col min="1" max="1" width="8.7265625" style="1"/>
    <col min="2" max="2" width="8.7265625" style="18"/>
    <col min="3" max="3" width="10" bestFit="1" customWidth="1"/>
    <col min="4" max="4" width="13.453125" bestFit="1" customWidth="1"/>
    <col min="5" max="5" width="10" bestFit="1" customWidth="1"/>
  </cols>
  <sheetData>
    <row r="1" spans="1:6" x14ac:dyDescent="0.4">
      <c r="B1" s="16"/>
    </row>
    <row r="2" spans="1:6" x14ac:dyDescent="0.4">
      <c r="A2" s="2" t="s">
        <v>731</v>
      </c>
      <c r="B2" s="17" t="s">
        <v>115</v>
      </c>
      <c r="C2" s="14" t="s">
        <v>576</v>
      </c>
      <c r="D2" s="14" t="s">
        <v>127</v>
      </c>
      <c r="E2" s="14" t="s">
        <v>126</v>
      </c>
      <c r="F2" s="13" t="s">
        <v>559</v>
      </c>
    </row>
    <row r="3" spans="1:6" x14ac:dyDescent="0.4">
      <c r="A3" s="2" t="s">
        <v>491</v>
      </c>
      <c r="B3" t="s">
        <v>114</v>
      </c>
      <c r="C3" t="s">
        <v>574</v>
      </c>
      <c r="D3" t="s">
        <v>256</v>
      </c>
      <c r="E3" s="2" t="s">
        <v>231</v>
      </c>
      <c r="F3" t="s">
        <v>561</v>
      </c>
    </row>
    <row r="4" spans="1:6" x14ac:dyDescent="0.4">
      <c r="A4" s="2" t="s">
        <v>27</v>
      </c>
      <c r="B4" t="s">
        <v>473</v>
      </c>
      <c r="C4" t="s">
        <v>575</v>
      </c>
      <c r="D4" t="s">
        <v>255</v>
      </c>
      <c r="E4" s="2" t="s">
        <v>251</v>
      </c>
      <c r="F4" t="s">
        <v>563</v>
      </c>
    </row>
    <row r="5" spans="1:6" x14ac:dyDescent="0.4">
      <c r="A5" s="2" t="s">
        <v>110</v>
      </c>
      <c r="B5" t="s">
        <v>474</v>
      </c>
      <c r="C5" t="s">
        <v>577</v>
      </c>
      <c r="D5" t="s">
        <v>232</v>
      </c>
      <c r="E5" s="2" t="s">
        <v>476</v>
      </c>
      <c r="F5" t="s">
        <v>565</v>
      </c>
    </row>
    <row r="6" spans="1:6" x14ac:dyDescent="0.4">
      <c r="A6" s="2" t="s">
        <v>109</v>
      </c>
      <c r="B6"/>
      <c r="C6" t="s">
        <v>811</v>
      </c>
      <c r="D6" t="s">
        <v>236</v>
      </c>
      <c r="E6" s="2" t="s">
        <v>252</v>
      </c>
      <c r="F6" t="s">
        <v>567</v>
      </c>
    </row>
    <row r="7" spans="1:6" x14ac:dyDescent="0.4">
      <c r="A7" s="2" t="s">
        <v>5</v>
      </c>
      <c r="B7"/>
      <c r="C7" t="s">
        <v>513</v>
      </c>
      <c r="D7" s="2" t="s">
        <v>235</v>
      </c>
      <c r="E7" s="2" t="s">
        <v>502</v>
      </c>
    </row>
    <row r="8" spans="1:6" x14ac:dyDescent="0.4">
      <c r="A8" s="2" t="s">
        <v>732</v>
      </c>
      <c r="B8"/>
      <c r="C8" t="s">
        <v>567</v>
      </c>
      <c r="D8" s="2" t="s">
        <v>254</v>
      </c>
      <c r="E8" s="2" t="s">
        <v>514</v>
      </c>
    </row>
    <row r="9" spans="1:6" x14ac:dyDescent="0.4">
      <c r="A9" s="2" t="s">
        <v>13</v>
      </c>
      <c r="B9"/>
      <c r="D9" s="2" t="s">
        <v>234</v>
      </c>
      <c r="E9" s="2" t="s">
        <v>553</v>
      </c>
    </row>
    <row r="10" spans="1:6" x14ac:dyDescent="0.4">
      <c r="A10" s="2" t="s">
        <v>111</v>
      </c>
      <c r="B10"/>
      <c r="D10" s="2" t="s">
        <v>253</v>
      </c>
      <c r="E10" s="2" t="s">
        <v>555</v>
      </c>
    </row>
    <row r="11" spans="1:6" x14ac:dyDescent="0.4">
      <c r="A11" s="2" t="s">
        <v>35</v>
      </c>
      <c r="D11" s="2" t="s">
        <v>255</v>
      </c>
    </row>
    <row r="12" spans="1:6" x14ac:dyDescent="0.4">
      <c r="D12" s="2" t="s">
        <v>233</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菜式清單</vt:lpstr>
      <vt:lpstr>材料</vt:lpstr>
      <vt:lpstr>做法</vt:lpstr>
      <vt:lpstr>材料庫</vt:lpstr>
      <vt:lpstr>清單選項</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k32932</dc:creator>
  <cp:lastModifiedBy>k32932</cp:lastModifiedBy>
  <dcterms:created xsi:type="dcterms:W3CDTF">2026-10-15T01:35:11Z</dcterms:created>
  <dcterms:modified xsi:type="dcterms:W3CDTF">2026-10-28T12:04:51Z</dcterms:modified>
</cp:coreProperties>
</file>