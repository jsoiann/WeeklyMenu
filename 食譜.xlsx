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skyan\OneDrive\桌面\"/>
    </mc:Choice>
  </mc:AlternateContent>
  <xr:revisionPtr revIDLastSave="0" documentId="13_ncr:1_{E9B5E624-152E-4EDF-80F0-6505F282B89F}" xr6:coauthVersionLast="47" xr6:coauthVersionMax="47" xr10:uidLastSave="{00000000-0000-0000-0000-000000000000}"/>
  <bookViews>
    <workbookView xWindow="-110" yWindow="-110" windowWidth="19420" windowHeight="10300" xr2:uid="{D3CD4B5A-BC5A-4F70-9177-788540974920}"/>
  </bookViews>
  <sheets>
    <sheet name="菜式清單" sheetId="1" r:id="rId1"/>
    <sheet name="材料" sheetId="2" r:id="rId2"/>
    <sheet name="做法" sheetId="3" r:id="rId3"/>
    <sheet name="材料庫" sheetId="4" r:id="rId4"/>
    <sheet name="清單選項" sheetId="5" r:id="rId5"/>
    <sheet name="dish_trans" sheetId="6"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H4" i="1" l="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G132" i="1"/>
  <c r="G133" i="1"/>
  <c r="G134" i="1"/>
  <c r="G135" i="1"/>
  <c r="G136" i="1"/>
  <c r="G137" i="1"/>
  <c r="G138" i="1"/>
  <c r="G139" i="1"/>
  <c r="G140" i="1"/>
  <c r="G141" i="1"/>
  <c r="G142" i="1"/>
  <c r="G143" i="1"/>
  <c r="G144" i="1"/>
  <c r="G145" i="1"/>
  <c r="G146" i="1"/>
  <c r="G147" i="1"/>
  <c r="G148" i="1"/>
  <c r="G149" i="1"/>
  <c r="G150" i="1"/>
  <c r="G151" i="1"/>
  <c r="G152" i="1"/>
  <c r="G153" i="1"/>
  <c r="G154" i="1"/>
  <c r="G155" i="1"/>
  <c r="G156" i="1"/>
  <c r="G157" i="1"/>
  <c r="G158" i="1"/>
  <c r="G159"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2" i="1"/>
  <c r="G203" i="1"/>
  <c r="G204" i="1"/>
  <c r="G205" i="1"/>
  <c r="G206" i="1"/>
  <c r="G207" i="1"/>
  <c r="G208" i="1"/>
  <c r="G209" i="1"/>
  <c r="G210" i="1"/>
  <c r="G211" i="1"/>
  <c r="G212" i="1"/>
  <c r="G213" i="1"/>
  <c r="G214" i="1"/>
  <c r="G215" i="1"/>
  <c r="G216" i="1"/>
  <c r="G217" i="1"/>
  <c r="G218" i="1"/>
  <c r="G219" i="1"/>
  <c r="G220" i="1"/>
  <c r="G221" i="1"/>
  <c r="G222" i="1"/>
  <c r="G223" i="1"/>
  <c r="G224" i="1"/>
  <c r="G225" i="1"/>
  <c r="G226" i="1"/>
  <c r="G227" i="1"/>
  <c r="G228" i="1"/>
  <c r="G229" i="1"/>
  <c r="G230" i="1"/>
  <c r="G231" i="1"/>
  <c r="G232" i="1"/>
  <c r="G233" i="1"/>
  <c r="G234" i="1"/>
  <c r="G235" i="1"/>
  <c r="G236" i="1"/>
  <c r="G237" i="1"/>
  <c r="G238" i="1"/>
  <c r="G239" i="1"/>
  <c r="G240" i="1"/>
  <c r="G241" i="1"/>
  <c r="G242" i="1"/>
  <c r="G243" i="1"/>
  <c r="G244" i="1"/>
  <c r="G245" i="1"/>
  <c r="G246" i="1"/>
  <c r="G247" i="1"/>
  <c r="G248" i="1"/>
  <c r="G249" i="1"/>
  <c r="G250" i="1"/>
  <c r="G251" i="1"/>
  <c r="G252" i="1"/>
  <c r="G253" i="1"/>
  <c r="G254" i="1"/>
  <c r="G255" i="1"/>
  <c r="G256" i="1"/>
  <c r="G257" i="1"/>
  <c r="G258" i="1"/>
  <c r="G259" i="1"/>
  <c r="G260" i="1"/>
  <c r="G261" i="1"/>
  <c r="G262" i="1"/>
  <c r="D122" i="4"/>
  <c r="C122" i="4"/>
  <c r="A126" i="3"/>
  <c r="A127" i="3"/>
  <c r="A128" i="3"/>
  <c r="E126" i="3"/>
  <c r="E127" i="3"/>
  <c r="E128" i="3"/>
  <c r="F126" i="3"/>
  <c r="F127" i="3"/>
  <c r="F128" i="3"/>
  <c r="G126" i="3"/>
  <c r="G127" i="3"/>
  <c r="G128" i="3"/>
  <c r="A256" i="2"/>
  <c r="D121" i="4"/>
  <c r="C121" i="4"/>
  <c r="B119" i="4"/>
  <c r="B120" i="4"/>
  <c r="C120" i="4"/>
  <c r="D120" i="4"/>
  <c r="B118" i="4"/>
  <c r="C118" i="4"/>
  <c r="D118" i="4"/>
  <c r="B117" i="4"/>
  <c r="C117" i="4"/>
  <c r="D117" i="4"/>
  <c r="B116" i="4"/>
  <c r="C116" i="4"/>
  <c r="D116" i="4"/>
  <c r="A258" i="2"/>
  <c r="A259" i="2"/>
  <c r="A260" i="2"/>
  <c r="A261" i="2"/>
  <c r="A262" i="2"/>
  <c r="A263" i="2"/>
  <c r="A257" i="2"/>
  <c r="A255" i="2"/>
  <c r="A125" i="3"/>
  <c r="E125" i="3"/>
  <c r="F125" i="3"/>
  <c r="G125" i="3"/>
  <c r="A124" i="3"/>
  <c r="E124" i="3"/>
  <c r="F124" i="3"/>
  <c r="G124" i="3"/>
  <c r="B115" i="4"/>
  <c r="C115" i="4"/>
  <c r="D115" i="4"/>
  <c r="A254" i="2"/>
  <c r="A253" i="2"/>
  <c r="A252" i="2"/>
  <c r="A248" i="2"/>
  <c r="A249" i="2"/>
  <c r="A250" i="2"/>
  <c r="A251" i="2"/>
  <c r="B114" i="4"/>
  <c r="C114" i="4"/>
  <c r="D114" i="4"/>
  <c r="B113" i="4"/>
  <c r="C113" i="4"/>
  <c r="D113" i="4"/>
  <c r="B112" i="4"/>
  <c r="C112" i="4"/>
  <c r="D112" i="4"/>
  <c r="A123" i="3"/>
  <c r="E123" i="3"/>
  <c r="F123" i="3"/>
  <c r="G123" i="3"/>
  <c r="A122" i="3"/>
  <c r="E122" i="3"/>
  <c r="F122" i="3"/>
  <c r="G122" i="3"/>
  <c r="A121" i="3"/>
  <c r="E121" i="3"/>
  <c r="F121" i="3"/>
  <c r="G121" i="3"/>
  <c r="A120" i="3"/>
  <c r="E120" i="3"/>
  <c r="F120" i="3"/>
  <c r="G120" i="3"/>
  <c r="B110" i="4"/>
  <c r="B111" i="4"/>
  <c r="C111" i="4"/>
  <c r="D111" i="4"/>
  <c r="A246" i="2"/>
  <c r="A247" i="2"/>
  <c r="C110" i="4"/>
  <c r="D110" i="4"/>
  <c r="A244" i="2"/>
  <c r="A245" i="2"/>
  <c r="A242" i="2"/>
  <c r="A243" i="2"/>
  <c r="A119" i="3"/>
  <c r="E119" i="3"/>
  <c r="F119" i="3"/>
  <c r="G119" i="3"/>
  <c r="A118" i="3"/>
  <c r="E118" i="3"/>
  <c r="F118" i="3"/>
  <c r="G118" i="3"/>
  <c r="D72" i="6"/>
  <c r="C72" i="6"/>
  <c r="D23" i="6"/>
  <c r="C23" i="6"/>
  <c r="A2" i="1"/>
  <c r="A238" i="2"/>
  <c r="A239" i="2"/>
  <c r="A240" i="2"/>
  <c r="A241" i="2"/>
  <c r="B109" i="4"/>
  <c r="C109" i="4"/>
  <c r="D109" i="4"/>
  <c r="B106" i="4"/>
  <c r="B107" i="4"/>
  <c r="B108" i="4"/>
  <c r="C108" i="4"/>
  <c r="D108" i="4"/>
  <c r="A235" i="2"/>
  <c r="A236" i="2"/>
  <c r="A237" i="2"/>
  <c r="A232" i="2"/>
  <c r="A233" i="2"/>
  <c r="A234" i="2"/>
  <c r="A117" i="3"/>
  <c r="E117" i="3"/>
  <c r="F117" i="3"/>
  <c r="G117" i="3"/>
  <c r="A116" i="3"/>
  <c r="E116" i="3"/>
  <c r="F116" i="3"/>
  <c r="G116" i="3"/>
  <c r="A115" i="3"/>
  <c r="E115" i="3"/>
  <c r="F115" i="3"/>
  <c r="G115" i="3"/>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49" i="1"/>
  <c r="F250" i="1"/>
  <c r="F251" i="1"/>
  <c r="F252" i="1"/>
  <c r="F253" i="1"/>
  <c r="F254" i="1"/>
  <c r="F255" i="1"/>
  <c r="F256" i="1"/>
  <c r="F257" i="1"/>
  <c r="F258" i="1"/>
  <c r="F259" i="1"/>
  <c r="F260" i="1"/>
  <c r="F261" i="1"/>
  <c r="F262" i="1"/>
  <c r="F4" i="1"/>
  <c r="C107" i="4"/>
  <c r="D107" i="4"/>
  <c r="C106" i="4"/>
  <c r="D106" i="4"/>
  <c r="A231" i="2"/>
  <c r="A230" i="2"/>
  <c r="A229" i="2"/>
  <c r="A228" i="2"/>
  <c r="A225" i="2"/>
  <c r="A226" i="2"/>
  <c r="A227" i="2"/>
  <c r="A114" i="3"/>
  <c r="E114" i="3"/>
  <c r="F114" i="3"/>
  <c r="G114" i="3"/>
  <c r="A113" i="3"/>
  <c r="E113" i="3"/>
  <c r="F113" i="3"/>
  <c r="G113" i="3"/>
  <c r="A112" i="3"/>
  <c r="E112" i="3"/>
  <c r="F112" i="3"/>
  <c r="G112" i="3"/>
  <c r="A224" i="2"/>
  <c r="A223" i="2"/>
  <c r="B105" i="4"/>
  <c r="C105" i="4"/>
  <c r="D105" i="4"/>
  <c r="A222" i="2"/>
  <c r="A221" i="2"/>
  <c r="A219" i="2"/>
  <c r="A220" i="2"/>
  <c r="A111" i="3"/>
  <c r="E111" i="3"/>
  <c r="F111" i="3"/>
  <c r="G111" i="3"/>
  <c r="A110" i="3"/>
  <c r="E110" i="3"/>
  <c r="F110" i="3"/>
  <c r="G110" i="3"/>
  <c r="A109" i="3"/>
  <c r="E109" i="3"/>
  <c r="F109" i="3"/>
  <c r="G109" i="3"/>
  <c r="B104" i="4"/>
  <c r="C104" i="4"/>
  <c r="D104" i="4"/>
  <c r="A108" i="3"/>
  <c r="E108" i="3"/>
  <c r="F108" i="3"/>
  <c r="G108" i="3"/>
  <c r="A218" i="2"/>
  <c r="A103" i="3"/>
  <c r="A104" i="3"/>
  <c r="A105" i="3"/>
  <c r="A106" i="3"/>
  <c r="A107" i="3"/>
  <c r="E103" i="3"/>
  <c r="E104" i="3"/>
  <c r="E105" i="3"/>
  <c r="E106" i="3"/>
  <c r="E107" i="3"/>
  <c r="F103" i="3"/>
  <c r="F104" i="3"/>
  <c r="F105" i="3"/>
  <c r="F106" i="3"/>
  <c r="F107" i="3"/>
  <c r="G103" i="3"/>
  <c r="G104" i="3"/>
  <c r="G105" i="3"/>
  <c r="G106" i="3"/>
  <c r="G107" i="3"/>
  <c r="B102" i="4"/>
  <c r="B103" i="4"/>
  <c r="C103" i="4"/>
  <c r="D103" i="4"/>
  <c r="C102" i="4"/>
  <c r="D102" i="4"/>
  <c r="B101" i="4"/>
  <c r="C101" i="4"/>
  <c r="D101" i="4"/>
  <c r="A213" i="2"/>
  <c r="A214" i="2"/>
  <c r="A215" i="2"/>
  <c r="A216" i="2"/>
  <c r="A217" i="2"/>
  <c r="A212" i="2"/>
  <c r="A211" i="2"/>
  <c r="A101" i="3"/>
  <c r="A102" i="3"/>
  <c r="E101" i="3"/>
  <c r="E102" i="3"/>
  <c r="F101" i="3"/>
  <c r="F102" i="3"/>
  <c r="G101" i="3"/>
  <c r="G102" i="3"/>
  <c r="A210" i="2"/>
  <c r="A206" i="2"/>
  <c r="A207" i="2"/>
  <c r="A208" i="2"/>
  <c r="A209" i="2"/>
  <c r="A99" i="3"/>
  <c r="A100" i="3"/>
  <c r="E99" i="3"/>
  <c r="E100" i="3"/>
  <c r="F99" i="3"/>
  <c r="F100" i="3"/>
  <c r="G99" i="3"/>
  <c r="G100" i="3"/>
  <c r="A205" i="2"/>
  <c r="A204" i="2"/>
  <c r="A96" i="3"/>
  <c r="A97" i="3"/>
  <c r="A98" i="3"/>
  <c r="E96" i="3"/>
  <c r="E97" i="3"/>
  <c r="E98" i="3"/>
  <c r="F96" i="3"/>
  <c r="F97" i="3"/>
  <c r="F98" i="3"/>
  <c r="G96" i="3"/>
  <c r="G97" i="3"/>
  <c r="G98" i="3"/>
  <c r="A201" i="2"/>
  <c r="A202" i="2"/>
  <c r="A203" i="2"/>
  <c r="A200" i="2"/>
  <c r="A199" i="2"/>
  <c r="A93" i="3"/>
  <c r="A94" i="3"/>
  <c r="A95" i="3"/>
  <c r="E93" i="3"/>
  <c r="E94" i="3"/>
  <c r="E95" i="3"/>
  <c r="F93" i="3"/>
  <c r="F94" i="3"/>
  <c r="F95" i="3"/>
  <c r="G93" i="3"/>
  <c r="G94" i="3"/>
  <c r="G95" i="3"/>
  <c r="A197" i="2"/>
  <c r="A198" i="2"/>
  <c r="A196" i="2"/>
  <c r="A195" i="2"/>
  <c r="C1" i="4"/>
  <c r="D1" i="4"/>
  <c r="A192" i="2"/>
  <c r="A193" i="2"/>
  <c r="A194" i="2"/>
  <c r="A92" i="3"/>
  <c r="E92" i="3"/>
  <c r="F92" i="3"/>
  <c r="G92" i="3"/>
  <c r="A91" i="3"/>
  <c r="E91" i="3"/>
  <c r="F91" i="3"/>
  <c r="G91" i="3"/>
  <c r="A191" i="2"/>
  <c r="A190" i="2"/>
  <c r="A89" i="3"/>
  <c r="A90" i="3"/>
  <c r="E89" i="3"/>
  <c r="E90" i="3"/>
  <c r="F89" i="3"/>
  <c r="F90" i="3"/>
  <c r="G89" i="3"/>
  <c r="G90" i="3"/>
  <c r="A88" i="3"/>
  <c r="E88" i="3"/>
  <c r="F88" i="3"/>
  <c r="G88" i="3"/>
  <c r="A87" i="3"/>
  <c r="E87" i="3"/>
  <c r="F87" i="3"/>
  <c r="G87" i="3"/>
  <c r="A185" i="2"/>
  <c r="A186" i="2"/>
  <c r="A187" i="2"/>
  <c r="A188" i="2"/>
  <c r="A189" i="2"/>
  <c r="A183" i="2"/>
  <c r="A184" i="2"/>
  <c r="A165" i="2"/>
  <c r="A166" i="2"/>
  <c r="A167" i="2"/>
  <c r="A168" i="2"/>
  <c r="A169" i="2"/>
  <c r="A170" i="2"/>
  <c r="A171" i="2"/>
  <c r="A172" i="2"/>
  <c r="A173" i="2"/>
  <c r="A174" i="2"/>
  <c r="A175" i="2"/>
  <c r="A176" i="2"/>
  <c r="A177" i="2"/>
  <c r="A178" i="2"/>
  <c r="A179" i="2"/>
  <c r="A180" i="2"/>
  <c r="A181" i="2"/>
  <c r="A182" i="2"/>
  <c r="A83" i="3"/>
  <c r="A84" i="3"/>
  <c r="A85" i="3"/>
  <c r="A86" i="3"/>
  <c r="E83" i="3"/>
  <c r="E84" i="3"/>
  <c r="E85" i="3"/>
  <c r="E86" i="3"/>
  <c r="F83" i="3"/>
  <c r="F84" i="3"/>
  <c r="F85" i="3"/>
  <c r="F86" i="3"/>
  <c r="G83" i="3"/>
  <c r="G84" i="3"/>
  <c r="G85" i="3"/>
  <c r="G86" i="3"/>
  <c r="A162" i="2"/>
  <c r="A163" i="2"/>
  <c r="A164" i="2"/>
  <c r="A79" i="3"/>
  <c r="A80" i="3"/>
  <c r="A81" i="3"/>
  <c r="A82" i="3"/>
  <c r="E79" i="3"/>
  <c r="E80" i="3"/>
  <c r="E81" i="3"/>
  <c r="E82" i="3"/>
  <c r="F79" i="3"/>
  <c r="F80" i="3"/>
  <c r="F81" i="3"/>
  <c r="F82" i="3"/>
  <c r="G79" i="3"/>
  <c r="G80" i="3"/>
  <c r="G81" i="3"/>
  <c r="G82" i="3"/>
  <c r="A75" i="3"/>
  <c r="A76" i="3"/>
  <c r="A77" i="3"/>
  <c r="A78" i="3"/>
  <c r="E75" i="3"/>
  <c r="E76" i="3"/>
  <c r="E77" i="3"/>
  <c r="E78" i="3"/>
  <c r="F75" i="3"/>
  <c r="F76" i="3"/>
  <c r="F77" i="3"/>
  <c r="F78" i="3"/>
  <c r="G75" i="3"/>
  <c r="G76" i="3"/>
  <c r="G77" i="3"/>
  <c r="G78" i="3"/>
  <c r="A156" i="2"/>
  <c r="A157" i="2"/>
  <c r="A158" i="2"/>
  <c r="A159" i="2"/>
  <c r="A160" i="2"/>
  <c r="A161" i="2"/>
  <c r="A72" i="3"/>
  <c r="A73" i="3"/>
  <c r="A74" i="3"/>
  <c r="E72" i="3"/>
  <c r="E73" i="3"/>
  <c r="E74" i="3"/>
  <c r="F72" i="3"/>
  <c r="F73" i="3"/>
  <c r="F74" i="3"/>
  <c r="G72" i="3"/>
  <c r="G73" i="3"/>
  <c r="G74" i="3"/>
  <c r="A148" i="2"/>
  <c r="A149" i="2"/>
  <c r="A150" i="2"/>
  <c r="A151" i="2"/>
  <c r="A152" i="2"/>
  <c r="A153" i="2"/>
  <c r="A154" i="2"/>
  <c r="A155" i="2"/>
  <c r="A147" i="2"/>
  <c r="A71" i="3"/>
  <c r="E71" i="3"/>
  <c r="F71" i="3"/>
  <c r="G71" i="3"/>
  <c r="A70" i="3"/>
  <c r="E70" i="3"/>
  <c r="F70" i="3"/>
  <c r="G70" i="3"/>
  <c r="A68" i="3"/>
  <c r="A69" i="3"/>
  <c r="E68" i="3"/>
  <c r="E69" i="3"/>
  <c r="F68" i="3"/>
  <c r="F69" i="3"/>
  <c r="G68" i="3"/>
  <c r="G69" i="3"/>
  <c r="A146" i="2"/>
  <c r="A145" i="2"/>
  <c r="A142" i="2"/>
  <c r="A143" i="2"/>
  <c r="A144" i="2"/>
  <c r="A141" i="2"/>
  <c r="A140" i="2"/>
  <c r="A67" i="3"/>
  <c r="E67" i="3"/>
  <c r="F67" i="3"/>
  <c r="G67" i="3"/>
  <c r="A139" i="2"/>
  <c r="A138" i="2"/>
  <c r="A137" i="2"/>
  <c r="A136" i="2"/>
  <c r="A65" i="3"/>
  <c r="A66" i="3"/>
  <c r="E65" i="3"/>
  <c r="E66" i="3"/>
  <c r="F65" i="3"/>
  <c r="F66" i="3"/>
  <c r="G65" i="3"/>
  <c r="G66" i="3"/>
  <c r="A64" i="3"/>
  <c r="E64" i="3"/>
  <c r="F64" i="3"/>
  <c r="G64" i="3"/>
  <c r="A135" i="2"/>
  <c r="A134" i="2"/>
  <c r="A133" i="2"/>
  <c r="A63" i="3"/>
  <c r="E63" i="3"/>
  <c r="F63" i="3"/>
  <c r="G63" i="3"/>
  <c r="A62" i="3"/>
  <c r="E62" i="3"/>
  <c r="F62" i="3"/>
  <c r="G62" i="3"/>
  <c r="A132" i="2"/>
  <c r="A131" i="2"/>
  <c r="A130" i="2"/>
  <c r="A61" i="3"/>
  <c r="E61" i="3"/>
  <c r="F61" i="3"/>
  <c r="G61" i="3"/>
  <c r="A129" i="2"/>
  <c r="A59" i="3"/>
  <c r="A60" i="3"/>
  <c r="E59" i="3"/>
  <c r="E60" i="3"/>
  <c r="F59" i="3"/>
  <c r="F60" i="3"/>
  <c r="G59" i="3"/>
  <c r="G60" i="3"/>
  <c r="A58" i="3"/>
  <c r="E58" i="3"/>
  <c r="F58" i="3"/>
  <c r="G58" i="3"/>
  <c r="A125" i="2"/>
  <c r="A126" i="2"/>
  <c r="A127" i="2"/>
  <c r="A128" i="2"/>
  <c r="A124" i="2"/>
  <c r="A123" i="2"/>
  <c r="A57" i="3"/>
  <c r="E57" i="3"/>
  <c r="F57" i="3"/>
  <c r="G57" i="3"/>
  <c r="A56" i="3"/>
  <c r="E56" i="3"/>
  <c r="F56" i="3"/>
  <c r="G56"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2" i="3"/>
  <c r="E55" i="3"/>
  <c r="F55" i="3"/>
  <c r="G55" i="3"/>
  <c r="A2" i="2"/>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F2" i="3"/>
  <c r="F3" i="3"/>
  <c r="F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E2" i="3"/>
  <c r="E3" i="3"/>
  <c r="E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D119" i="4" l="1"/>
  <c r="C119"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F163" authorId="0" shapeId="0" xr:uid="{00000000-0006-0000-0100-000018000000}">
      <text>
        <r>
          <rPr>
            <sz val="12"/>
            <color theme="1"/>
            <rFont val="新細明體"/>
            <family val="2"/>
            <charset val="136"/>
            <scheme val="minor"/>
          </rPr>
          <t>手寫「2匙」（前面有塗改），茶匙/湯匙待確認</t>
        </r>
      </text>
    </comment>
    <comment ref="F164" authorId="0" shapeId="0" xr:uid="{00000000-0006-0000-0100-000019000000}">
      <text>
        <r>
          <rPr>
            <sz val="12"/>
            <color theme="1"/>
            <rFont val="新細明體"/>
            <family val="2"/>
            <charset val="136"/>
            <scheme val="minor"/>
          </rPr>
          <t>手寫字不清（似「2匙半糖」），份量/單位待確認</t>
        </r>
      </text>
    </comment>
    <comment ref="E165" authorId="0" shapeId="0" xr:uid="{00000000-0006-0000-0100-00001A000000}">
      <text>
        <r>
          <rPr>
            <sz val="12"/>
            <color theme="1"/>
            <rFont val="新細明體"/>
            <family val="2"/>
            <charset val="136"/>
            <scheme val="minor"/>
          </rPr>
          <t>括號內手寫似「800g」，待確認</t>
        </r>
      </text>
    </comment>
    <comment ref="E172" authorId="0" shapeId="0" xr:uid="{00000000-0006-0000-0100-00001F000000}">
      <text>
        <r>
          <rPr>
            <sz val="12"/>
            <color theme="1"/>
            <rFont val="新細明體"/>
            <family val="2"/>
            <charset val="136"/>
            <scheme val="minor"/>
          </rPr>
          <t>醃料Ⓐ；手寫「羅斗」，字不清（薑汁？）</t>
        </r>
      </text>
    </comment>
    <comment ref="D176" authorId="0" shapeId="0" xr:uid="{00000000-0006-0000-0100-000023000000}">
      <text>
        <r>
          <rPr>
            <sz val="12"/>
            <color theme="1"/>
            <rFont val="新細明體"/>
            <family val="2"/>
            <charset val="136"/>
            <scheme val="minor"/>
          </rPr>
          <t>醃料Ⓐ；「生抽」出現兩次，第二個可能係老抽或重複</t>
        </r>
      </text>
    </comment>
    <comment ref="D177" authorId="0" shapeId="0" xr:uid="{00000000-0006-0000-0100-000024000000}">
      <text>
        <r>
          <rPr>
            <sz val="12"/>
            <color theme="1"/>
            <rFont val="新細明體"/>
            <family val="2"/>
            <charset val="136"/>
            <scheme val="minor"/>
          </rPr>
          <t>芡汁Ⓑ</t>
        </r>
      </text>
    </comment>
    <comment ref="D178" authorId="0" shapeId="0" xr:uid="{00000000-0006-0000-0100-000025000000}">
      <text>
        <r>
          <rPr>
            <sz val="12"/>
            <color theme="1"/>
            <rFont val="新細明體"/>
            <family val="2"/>
            <charset val="136"/>
            <scheme val="minor"/>
          </rPr>
          <t>芡汁Ⓑ</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D25" authorId="0" shapeId="0" xr:uid="{9C86073D-2677-417A-AB08-D321EF476175}">
      <text>
        <r>
          <rPr>
            <sz val="12"/>
            <color theme="1"/>
            <rFont val="新細明體"/>
            <family val="2"/>
            <charset val="136"/>
            <scheme val="minor"/>
          </rPr>
          <t>手寫「半1sp」「2sp」，單位不清，暫寫「匙」</t>
        </r>
      </text>
    </comment>
    <comment ref="D27" authorId="0" shapeId="0" xr:uid="{A12E4064-7AC7-44CA-B38A-D3C80F88A937}">
      <text>
        <r>
          <rPr>
            <sz val="12"/>
            <color theme="1"/>
            <rFont val="新細明體"/>
            <family val="2"/>
            <charset val="136"/>
            <scheme val="minor"/>
          </rPr>
          <t>手寫字不清，似「加1杯滾水」</t>
        </r>
      </text>
    </comment>
    <comment ref="D37" authorId="0" shapeId="0" xr:uid="{6519F562-A210-4DD1-84AC-E4ADDCB099F3}">
      <text>
        <r>
          <rPr>
            <sz val="12"/>
            <color theme="1"/>
            <rFont val="新細明體"/>
            <family val="2"/>
            <charset val="136"/>
            <scheme val="minor"/>
          </rPr>
          <t>手寫末段「倒入菠菜，盛起」被劃走，菠菜如何同湯蛋合併待確認</t>
        </r>
      </text>
    </comment>
    <comment ref="D39" authorId="0" shapeId="0" xr:uid="{10BEF367-7427-40D8-AE86-2AD0D973BB24}">
      <text>
        <r>
          <rPr>
            <sz val="12"/>
            <color theme="1"/>
            <rFont val="新細明體"/>
            <family val="2"/>
            <charset val="136"/>
            <scheme val="minor"/>
          </rPr>
          <t>手寫「拿拿」及「表面濕」字不清</t>
        </r>
      </text>
    </comment>
    <comment ref="D48" authorId="0" shapeId="0" xr:uid="{C7FD163B-885B-4706-80A0-EB69B0F9D8A6}">
      <text>
        <r>
          <rPr>
            <sz val="12"/>
            <color theme="1"/>
            <rFont val="新細明體"/>
            <family val="2"/>
            <charset val="136"/>
            <scheme val="minor"/>
          </rPr>
          <t>手寫「一定要拿面」字不清</t>
        </r>
      </text>
    </comment>
    <comment ref="D50" authorId="0" shapeId="0" xr:uid="{57F2032D-C667-4AC0-AAE1-83F208426282}">
      <text>
        <r>
          <rPr>
            <sz val="12"/>
            <color theme="1"/>
            <rFont val="新細明體"/>
            <family val="2"/>
            <charset val="136"/>
            <scheme val="minor"/>
          </rPr>
          <t>手寫有塗改（下大滾煮），整句待確認</t>
        </r>
      </text>
    </comment>
  </commentList>
</comments>
</file>

<file path=xl/sharedStrings.xml><?xml version="1.0" encoding="utf-8"?>
<sst xmlns="http://schemas.openxmlformats.org/spreadsheetml/2006/main" count="5866" uniqueCount="2363">
  <si>
    <r>
      <rPr>
        <sz val="12"/>
        <color theme="1"/>
        <rFont val="新細明體"/>
        <family val="2"/>
        <charset val="136"/>
      </rPr>
      <t>菜系</t>
    </r>
    <phoneticPr fontId="2" type="noConversion"/>
  </si>
  <si>
    <t>Dish</t>
    <phoneticPr fontId="2" type="noConversion"/>
  </si>
  <si>
    <r>
      <rPr>
        <sz val="12"/>
        <color theme="1"/>
        <rFont val="細明體"/>
        <family val="2"/>
        <charset val="136"/>
      </rPr>
      <t>菜名</t>
    </r>
    <phoneticPr fontId="2" type="noConversion"/>
  </si>
  <si>
    <r>
      <rPr>
        <sz val="12"/>
        <color theme="1"/>
        <rFont val="細明體"/>
        <family val="2"/>
        <charset val="136"/>
      </rPr>
      <t>中式</t>
    </r>
    <phoneticPr fontId="2" type="noConversion"/>
  </si>
  <si>
    <r>
      <rPr>
        <sz val="12"/>
        <color theme="1"/>
        <rFont val="細明體"/>
        <family val="2"/>
        <charset val="136"/>
      </rPr>
      <t>燕麥蒸肉餅</t>
    </r>
    <phoneticPr fontId="2" type="noConversion"/>
  </si>
  <si>
    <t>西式</t>
    <phoneticPr fontId="2" type="noConversion"/>
  </si>
  <si>
    <t>Yes</t>
    <phoneticPr fontId="2" type="noConversion"/>
  </si>
  <si>
    <t>No</t>
    <phoneticPr fontId="2" type="noConversion"/>
  </si>
  <si>
    <t>蒸水蛋</t>
    <phoneticPr fontId="2" type="noConversion"/>
  </si>
  <si>
    <t>肉碎蒸水蛋</t>
    <phoneticPr fontId="2" type="noConversion"/>
  </si>
  <si>
    <t>冬菜蒸青根</t>
    <phoneticPr fontId="2" type="noConversion"/>
  </si>
  <si>
    <t>白奶油燉雞扒</t>
    <phoneticPr fontId="2" type="noConversion"/>
  </si>
  <si>
    <t>泰式</t>
    <phoneticPr fontId="2" type="noConversion"/>
  </si>
  <si>
    <t>麻婆豆腐</t>
    <phoneticPr fontId="2" type="noConversion"/>
  </si>
  <si>
    <t>蒜蓉蒸茄子</t>
    <phoneticPr fontId="2" type="noConversion"/>
  </si>
  <si>
    <t>金銀蛋菠菜</t>
    <phoneticPr fontId="2" type="noConversion"/>
  </si>
  <si>
    <r>
      <rPr>
        <sz val="12"/>
        <color theme="1"/>
        <rFont val="細明體"/>
        <family val="2"/>
        <charset val="136"/>
      </rPr>
      <t>純素</t>
    </r>
    <phoneticPr fontId="2" type="noConversion"/>
  </si>
  <si>
    <r>
      <rPr>
        <sz val="12"/>
        <color theme="1"/>
        <rFont val="細明體"/>
        <family val="2"/>
        <charset val="136"/>
      </rPr>
      <t>蛋奶素</t>
    </r>
    <phoneticPr fontId="2" type="noConversion"/>
  </si>
  <si>
    <r>
      <rPr>
        <sz val="12"/>
        <color theme="1"/>
        <rFont val="細明體"/>
        <family val="2"/>
        <charset val="136"/>
      </rPr>
      <t>煎牛扒</t>
    </r>
    <phoneticPr fontId="2" type="noConversion"/>
  </si>
  <si>
    <r>
      <rPr>
        <sz val="12"/>
        <color theme="1"/>
        <rFont val="細明體"/>
        <family val="2"/>
        <charset val="136"/>
      </rPr>
      <t>打拋豬</t>
    </r>
    <phoneticPr fontId="2" type="noConversion"/>
  </si>
  <si>
    <r>
      <rPr>
        <sz val="12"/>
        <color theme="1"/>
        <rFont val="細明體"/>
        <family val="2"/>
        <charset val="136"/>
      </rPr>
      <t>餐點類別</t>
    </r>
    <r>
      <rPr>
        <sz val="12"/>
        <color theme="1"/>
        <rFont val="Calibri"/>
        <family val="2"/>
      </rPr>
      <t>(Menu)</t>
    </r>
    <phoneticPr fontId="2" type="noConversion"/>
  </si>
  <si>
    <t>Breakfast</t>
    <phoneticPr fontId="2" type="noConversion"/>
  </si>
  <si>
    <t>Lunch</t>
    <phoneticPr fontId="2" type="noConversion"/>
  </si>
  <si>
    <t>Dinner</t>
    <phoneticPr fontId="2" type="noConversion"/>
  </si>
  <si>
    <t>牛奶凍</t>
    <phoneticPr fontId="2" type="noConversion"/>
  </si>
  <si>
    <t>吞拿魚秋葵沙律</t>
    <phoneticPr fontId="2" type="noConversion"/>
  </si>
  <si>
    <t>日式</t>
    <phoneticPr fontId="2" type="noConversion"/>
  </si>
  <si>
    <t>椰汁燉芋頭</t>
    <phoneticPr fontId="2" type="noConversion"/>
  </si>
  <si>
    <t>阿育吠陀</t>
  </si>
  <si>
    <t>焗芝士肉醬薯仔批</t>
    <phoneticPr fontId="2" type="noConversion"/>
  </si>
  <si>
    <t>腐竹芋圓糖水</t>
    <phoneticPr fontId="2" type="noConversion"/>
  </si>
  <si>
    <t>韓式飯卷</t>
    <phoneticPr fontId="2" type="noConversion"/>
  </si>
  <si>
    <t>芝士三文治</t>
    <phoneticPr fontId="2" type="noConversion"/>
  </si>
  <si>
    <t>薯仔白咖喱</t>
    <phoneticPr fontId="2" type="noConversion"/>
  </si>
  <si>
    <t>韓式</t>
    <phoneticPr fontId="2" type="noConversion"/>
  </si>
  <si>
    <t>豆泥咖喱</t>
    <phoneticPr fontId="2" type="noConversion"/>
  </si>
  <si>
    <t>薑葱焗桶蠔</t>
    <phoneticPr fontId="2" type="noConversion"/>
  </si>
  <si>
    <t>土匪雞翼</t>
    <phoneticPr fontId="2" type="noConversion"/>
  </si>
  <si>
    <t>涼伴雲耳</t>
    <phoneticPr fontId="2" type="noConversion"/>
  </si>
  <si>
    <t>拍青瓜</t>
    <phoneticPr fontId="2" type="noConversion"/>
  </si>
  <si>
    <t>滋陰健胃湯</t>
    <phoneticPr fontId="2" type="noConversion"/>
  </si>
  <si>
    <t>魚唇滋陰養顏湯</t>
    <phoneticPr fontId="2" type="noConversion"/>
  </si>
  <si>
    <t>姬松菇養心安神湯</t>
    <phoneticPr fontId="2" type="noConversion"/>
  </si>
  <si>
    <t>薑汁撞奶</t>
    <phoneticPr fontId="2" type="noConversion"/>
  </si>
  <si>
    <t>洋葱豬排</t>
    <phoneticPr fontId="2" type="noConversion"/>
  </si>
  <si>
    <t>井</t>
    <phoneticPr fontId="2" type="noConversion"/>
  </si>
  <si>
    <t>水牛蘑菇</t>
    <phoneticPr fontId="2" type="noConversion"/>
  </si>
  <si>
    <t>泰式魚餅</t>
    <phoneticPr fontId="2" type="noConversion"/>
  </si>
  <si>
    <t>蕃茄青口</t>
    <phoneticPr fontId="2" type="noConversion"/>
  </si>
  <si>
    <t>京葱炒羊肉片</t>
    <phoneticPr fontId="2" type="noConversion"/>
  </si>
  <si>
    <t>台灣滷肉</t>
    <phoneticPr fontId="2" type="noConversion"/>
  </si>
  <si>
    <t>泰式豬排</t>
    <phoneticPr fontId="2" type="noConversion"/>
  </si>
  <si>
    <t>洋葱湯</t>
    <phoneticPr fontId="2" type="noConversion"/>
  </si>
  <si>
    <t>羊架</t>
    <phoneticPr fontId="2" type="noConversion"/>
  </si>
  <si>
    <t>雞蛋薯仔沙律</t>
    <phoneticPr fontId="2" type="noConversion"/>
  </si>
  <si>
    <t>墨西哥芝士餡餅</t>
    <phoneticPr fontId="2" type="noConversion"/>
  </si>
  <si>
    <t>金菇肥牛卷</t>
    <phoneticPr fontId="2" type="noConversion"/>
  </si>
  <si>
    <t>印度奶油雞</t>
    <phoneticPr fontId="2" type="noConversion"/>
  </si>
  <si>
    <t>腐乳雞翼</t>
    <phoneticPr fontId="2" type="noConversion"/>
  </si>
  <si>
    <t>泰式豬頸肉</t>
    <phoneticPr fontId="2" type="noConversion"/>
  </si>
  <si>
    <t>白汁芝士焗菠菜薯仔</t>
    <phoneticPr fontId="2" type="noConversion"/>
  </si>
  <si>
    <r>
      <rPr>
        <sz val="12"/>
        <color theme="1"/>
        <rFont val="細明體"/>
        <family val="2"/>
        <charset val="136"/>
      </rPr>
      <t>純素香蕉</t>
    </r>
    <r>
      <rPr>
        <sz val="12"/>
        <color theme="1"/>
        <rFont val="新細明體"/>
        <family val="2"/>
        <charset val="136"/>
        <scheme val="minor"/>
      </rPr>
      <t>pancake</t>
    </r>
    <phoneticPr fontId="2" type="noConversion"/>
  </si>
  <si>
    <r>
      <t>香蕉</t>
    </r>
    <r>
      <rPr>
        <sz val="12"/>
        <color theme="1"/>
        <rFont val="Calibri"/>
        <family val="2"/>
      </rPr>
      <t>pancake</t>
    </r>
  </si>
  <si>
    <t>清冬蔭公湯</t>
    <phoneticPr fontId="2" type="noConversion"/>
  </si>
  <si>
    <t>米紙蛋餅</t>
    <phoneticPr fontId="2" type="noConversion"/>
  </si>
  <si>
    <t>Yogurt</t>
    <phoneticPr fontId="2" type="noConversion"/>
  </si>
  <si>
    <t>牛丼</t>
    <phoneticPr fontId="2" type="noConversion"/>
  </si>
  <si>
    <t>蓮藕炒甘筍</t>
    <phoneticPr fontId="2" type="noConversion"/>
  </si>
  <si>
    <t>蒜蓉香菇</t>
    <phoneticPr fontId="2" type="noConversion"/>
  </si>
  <si>
    <t>關東煮</t>
    <phoneticPr fontId="2" type="noConversion"/>
  </si>
  <si>
    <t>蒜泥白肉</t>
    <phoneticPr fontId="2" type="noConversion"/>
  </si>
  <si>
    <t>茄子凍</t>
    <phoneticPr fontId="2" type="noConversion"/>
  </si>
  <si>
    <t>沙嗲串</t>
    <phoneticPr fontId="2" type="noConversion"/>
  </si>
  <si>
    <t>川椒雞</t>
    <phoneticPr fontId="2" type="noConversion"/>
  </si>
  <si>
    <t>牧羊人派</t>
    <phoneticPr fontId="2" type="noConversion"/>
  </si>
  <si>
    <t>奶油南瓜野菇飯</t>
    <phoneticPr fontId="2" type="noConversion"/>
  </si>
  <si>
    <t>南瓜餅</t>
    <phoneticPr fontId="2" type="noConversion"/>
  </si>
  <si>
    <t>日式拿玻里意粉</t>
    <phoneticPr fontId="2" type="noConversion"/>
  </si>
  <si>
    <t>素沙嗲串</t>
    <phoneticPr fontId="2" type="noConversion"/>
  </si>
  <si>
    <t>燜釀豆腐泡</t>
    <phoneticPr fontId="2" type="noConversion"/>
  </si>
  <si>
    <t>酸麵包法式吐司</t>
    <phoneticPr fontId="2" type="noConversion"/>
  </si>
  <si>
    <t>笛子卷餅</t>
    <phoneticPr fontId="2" type="noConversion"/>
  </si>
  <si>
    <t>香草爆米花</t>
    <phoneticPr fontId="2" type="noConversion"/>
  </si>
  <si>
    <t>茶漬飯</t>
    <phoneticPr fontId="2" type="noConversion"/>
  </si>
  <si>
    <t>夏野菜之燒浸</t>
    <phoneticPr fontId="2" type="noConversion"/>
  </si>
  <si>
    <t>豆腐沙律</t>
    <phoneticPr fontId="2" type="noConversion"/>
  </si>
  <si>
    <t>梅子薯蓉釀豆卜</t>
    <phoneticPr fontId="2" type="noConversion"/>
  </si>
  <si>
    <t>紅油抄手</t>
    <phoneticPr fontId="2" type="noConversion"/>
  </si>
  <si>
    <t>粉葛紅蘿蔔赤小豆扁豆湯</t>
    <phoneticPr fontId="2" type="noConversion"/>
  </si>
  <si>
    <t>韓式炒冬粉</t>
    <phoneticPr fontId="2" type="noConversion"/>
  </si>
  <si>
    <t>韓式雜菜拌飯</t>
    <phoneticPr fontId="2" type="noConversion"/>
  </si>
  <si>
    <t>雞蛋多士棒</t>
    <phoneticPr fontId="2" type="noConversion"/>
  </si>
  <si>
    <t>日式冷麵</t>
    <phoneticPr fontId="2" type="noConversion"/>
  </si>
  <si>
    <t>芒果素鰻壽司</t>
    <phoneticPr fontId="2" type="noConversion"/>
  </si>
  <si>
    <t>越南米紙卷</t>
    <phoneticPr fontId="2" type="noConversion"/>
  </si>
  <si>
    <t>意大利青瓜薯仔煎餅配酸忌廉醬</t>
    <phoneticPr fontId="2" type="noConversion"/>
  </si>
  <si>
    <t>焗迷你pizza</t>
    <phoneticPr fontId="2" type="noConversion"/>
  </si>
  <si>
    <t>薯蓉焗雜菜</t>
    <phoneticPr fontId="2" type="noConversion"/>
  </si>
  <si>
    <t>白菌薯仔素肉批</t>
    <phoneticPr fontId="2" type="noConversion"/>
  </si>
  <si>
    <t>牛油果西多士</t>
    <phoneticPr fontId="2" type="noConversion"/>
  </si>
  <si>
    <t>薯仔沙律蛋包</t>
    <phoneticPr fontId="2" type="noConversion"/>
  </si>
  <si>
    <t>素羅宋湯</t>
    <phoneticPr fontId="2" type="noConversion"/>
  </si>
  <si>
    <t>焗葡汁白菌豆腐飯</t>
    <phoneticPr fontId="2" type="noConversion"/>
  </si>
  <si>
    <t>紫薯布甸</t>
    <phoneticPr fontId="2" type="noConversion"/>
  </si>
  <si>
    <t>椰青木瓜果凍</t>
    <phoneticPr fontId="2" type="noConversion"/>
  </si>
  <si>
    <t>金銀菜湯</t>
    <phoneticPr fontId="2" type="noConversion"/>
  </si>
  <si>
    <t>印度菜</t>
    <phoneticPr fontId="2" type="noConversion"/>
  </si>
  <si>
    <t>印尼菜</t>
    <phoneticPr fontId="2" type="noConversion"/>
  </si>
  <si>
    <t>越南菜</t>
    <phoneticPr fontId="2" type="noConversion"/>
  </si>
  <si>
    <t>Light Meal</t>
    <phoneticPr fontId="2" type="noConversion"/>
  </si>
  <si>
    <t>正常</t>
    <phoneticPr fontId="2" type="noConversion"/>
  </si>
  <si>
    <t>Diet</t>
    <phoneticPr fontId="2" type="noConversion"/>
  </si>
  <si>
    <r>
      <rPr>
        <sz val="12"/>
        <color theme="1"/>
        <rFont val="細明體"/>
        <family val="2"/>
        <charset val="136"/>
      </rPr>
      <t>飲食方式</t>
    </r>
    <r>
      <rPr>
        <sz val="12"/>
        <color theme="1"/>
        <rFont val="Calibri"/>
        <family val="2"/>
      </rPr>
      <t xml:space="preserve"> </t>
    </r>
    <phoneticPr fontId="2" type="noConversion"/>
  </si>
  <si>
    <t>Season</t>
    <phoneticPr fontId="2" type="noConversion"/>
  </si>
  <si>
    <t>季節</t>
    <phoneticPr fontId="2" type="noConversion"/>
  </si>
  <si>
    <t>全年</t>
    <phoneticPr fontId="2" type="noConversion"/>
  </si>
  <si>
    <t>冬</t>
    <phoneticPr fontId="2" type="noConversion"/>
  </si>
  <si>
    <t>夏</t>
    <phoneticPr fontId="2" type="noConversion"/>
  </si>
  <si>
    <t>主要蛋白質</t>
    <phoneticPr fontId="2" type="noConversion"/>
  </si>
  <si>
    <t>角色</t>
    <phoneticPr fontId="2" type="noConversion"/>
  </si>
  <si>
    <t>牛大力土茯苓湯</t>
    <phoneticPr fontId="2" type="noConversion"/>
  </si>
  <si>
    <t>日式梳乎厘班戟</t>
    <phoneticPr fontId="2" type="noConversion"/>
  </si>
  <si>
    <t>Dish Role</t>
    <phoneticPr fontId="2" type="noConversion"/>
  </si>
  <si>
    <t>Main Protein</t>
    <phoneticPr fontId="2" type="noConversion"/>
  </si>
  <si>
    <t>D0001</t>
  </si>
  <si>
    <t>D0001</t>
    <phoneticPr fontId="2" type="noConversion"/>
  </si>
  <si>
    <t>D0002</t>
    <phoneticPr fontId="2" type="noConversion"/>
  </si>
  <si>
    <t>D0003</t>
  </si>
  <si>
    <t>D0004</t>
  </si>
  <si>
    <t>D0005</t>
  </si>
  <si>
    <t>D0006</t>
  </si>
  <si>
    <t>D0007</t>
  </si>
  <si>
    <t>D0008</t>
  </si>
  <si>
    <t>D0009</t>
  </si>
  <si>
    <t>D0010</t>
  </si>
  <si>
    <t>D0011</t>
  </si>
  <si>
    <t>D0012</t>
  </si>
  <si>
    <t>D0013</t>
  </si>
  <si>
    <t>D0014</t>
  </si>
  <si>
    <t>D0015</t>
  </si>
  <si>
    <t>D0016</t>
  </si>
  <si>
    <t>D0017</t>
  </si>
  <si>
    <t>D0018</t>
  </si>
  <si>
    <t>D0019</t>
  </si>
  <si>
    <t>D0020</t>
  </si>
  <si>
    <t>D0021</t>
  </si>
  <si>
    <t>D0022</t>
  </si>
  <si>
    <t>D0023</t>
  </si>
  <si>
    <t>D0024</t>
  </si>
  <si>
    <t>D0025</t>
  </si>
  <si>
    <t>D0026</t>
  </si>
  <si>
    <t>D0027</t>
  </si>
  <si>
    <t>D0028</t>
  </si>
  <si>
    <t>D0029</t>
  </si>
  <si>
    <t>D0030</t>
  </si>
  <si>
    <t>D0031</t>
  </si>
  <si>
    <t>D0032</t>
  </si>
  <si>
    <t>D0033</t>
  </si>
  <si>
    <t>D0034</t>
  </si>
  <si>
    <t>D0035</t>
  </si>
  <si>
    <t>D0036</t>
  </si>
  <si>
    <t>D0037</t>
  </si>
  <si>
    <t>D0038</t>
  </si>
  <si>
    <t>D0039</t>
  </si>
  <si>
    <t>D0040</t>
  </si>
  <si>
    <t>D0041</t>
  </si>
  <si>
    <t>D0042</t>
  </si>
  <si>
    <t>D0043</t>
  </si>
  <si>
    <t>D0044</t>
  </si>
  <si>
    <t>D0045</t>
  </si>
  <si>
    <t>D0046</t>
  </si>
  <si>
    <t>D0047</t>
  </si>
  <si>
    <t>D0048</t>
  </si>
  <si>
    <t>D0049</t>
  </si>
  <si>
    <t>D0050</t>
  </si>
  <si>
    <t>D0051</t>
  </si>
  <si>
    <t>D0052</t>
  </si>
  <si>
    <t>D0053</t>
  </si>
  <si>
    <t>D0054</t>
  </si>
  <si>
    <t>D0055</t>
  </si>
  <si>
    <t>D0056</t>
  </si>
  <si>
    <t>D0057</t>
  </si>
  <si>
    <t>D0058</t>
  </si>
  <si>
    <t>D0059</t>
  </si>
  <si>
    <t>D0060</t>
  </si>
  <si>
    <t>D0061</t>
  </si>
  <si>
    <t>D0062</t>
  </si>
  <si>
    <t>D0063</t>
  </si>
  <si>
    <t>D0064</t>
  </si>
  <si>
    <t>D0065</t>
  </si>
  <si>
    <t>D0066</t>
  </si>
  <si>
    <t>D0067</t>
  </si>
  <si>
    <t>D0068</t>
  </si>
  <si>
    <t>D0069</t>
  </si>
  <si>
    <t>D0070</t>
  </si>
  <si>
    <t>D0071</t>
  </si>
  <si>
    <t>D0072</t>
  </si>
  <si>
    <t>D0073</t>
  </si>
  <si>
    <t>D0074</t>
  </si>
  <si>
    <t>D0075</t>
  </si>
  <si>
    <t>D0076</t>
  </si>
  <si>
    <t>D0077</t>
  </si>
  <si>
    <t>D0078</t>
  </si>
  <si>
    <t>D0079</t>
  </si>
  <si>
    <t>D0080</t>
  </si>
  <si>
    <t>D0081</t>
  </si>
  <si>
    <t>D0082</t>
  </si>
  <si>
    <t>D0083</t>
  </si>
  <si>
    <t>D0084</t>
  </si>
  <si>
    <t>D0085</t>
  </si>
  <si>
    <t>D0086</t>
  </si>
  <si>
    <t>D0087</t>
  </si>
  <si>
    <t>D0088</t>
  </si>
  <si>
    <t>D0089</t>
  </si>
  <si>
    <t>D0090</t>
  </si>
  <si>
    <t>D0091</t>
  </si>
  <si>
    <t>D0092</t>
  </si>
  <si>
    <t>D0093</t>
  </si>
  <si>
    <t>D0094</t>
  </si>
  <si>
    <t>Filipino</t>
  </si>
  <si>
    <t>Bahasa</t>
  </si>
  <si>
    <r>
      <rPr>
        <sz val="12"/>
        <color theme="1"/>
        <rFont val="新細明體"/>
        <family val="1"/>
        <charset val="136"/>
      </rPr>
      <t>材料</t>
    </r>
  </si>
  <si>
    <r>
      <rPr>
        <sz val="12"/>
        <color theme="1"/>
        <rFont val="新細明體"/>
        <family val="1"/>
        <charset val="136"/>
      </rPr>
      <t>英文</t>
    </r>
  </si>
  <si>
    <t>雞蛋</t>
  </si>
  <si>
    <t>隻</t>
    <phoneticPr fontId="2" type="noConversion"/>
  </si>
  <si>
    <t>主菜</t>
    <phoneticPr fontId="2" type="noConversion"/>
  </si>
  <si>
    <t>豬肉</t>
    <phoneticPr fontId="2" type="noConversion"/>
  </si>
  <si>
    <t>蛋</t>
    <phoneticPr fontId="2" type="noConversion"/>
  </si>
  <si>
    <t>海鮮</t>
    <phoneticPr fontId="2" type="noConversion"/>
  </si>
  <si>
    <t>雞肉</t>
    <phoneticPr fontId="2" type="noConversion"/>
  </si>
  <si>
    <t>羊肉</t>
    <phoneticPr fontId="2" type="noConversion"/>
  </si>
  <si>
    <t>五花腩</t>
    <phoneticPr fontId="2" type="noConversion"/>
  </si>
  <si>
    <t>燕麥</t>
    <phoneticPr fontId="2" type="noConversion"/>
  </si>
  <si>
    <t>水</t>
  </si>
  <si>
    <t>水</t>
    <phoneticPr fontId="2" type="noConversion"/>
  </si>
  <si>
    <t xml:space="preserve"> - </t>
    <phoneticPr fontId="2" type="noConversion"/>
  </si>
  <si>
    <t>鹽</t>
  </si>
  <si>
    <t>鹽</t>
    <phoneticPr fontId="2" type="noConversion"/>
  </si>
  <si>
    <t>糖</t>
  </si>
  <si>
    <t>糖</t>
    <phoneticPr fontId="2" type="noConversion"/>
  </si>
  <si>
    <t>生粉</t>
  </si>
  <si>
    <t>生粉</t>
    <phoneticPr fontId="2" type="noConversion"/>
  </si>
  <si>
    <t>葱</t>
    <phoneticPr fontId="2" type="noConversion"/>
  </si>
  <si>
    <t>ML</t>
    <phoneticPr fontId="2" type="noConversion"/>
  </si>
  <si>
    <t>茶匙</t>
    <phoneticPr fontId="2" type="noConversion"/>
  </si>
  <si>
    <t>副菜</t>
    <phoneticPr fontId="2" type="noConversion"/>
  </si>
  <si>
    <t>甜品</t>
    <phoneticPr fontId="2" type="noConversion"/>
  </si>
  <si>
    <t>豆</t>
    <phoneticPr fontId="2" type="noConversion"/>
  </si>
  <si>
    <t>蔬菜</t>
    <phoneticPr fontId="2" type="noConversion"/>
  </si>
  <si>
    <t>奶</t>
    <phoneticPr fontId="2" type="noConversion"/>
  </si>
  <si>
    <t>牛肉</t>
    <phoneticPr fontId="2" type="noConversion"/>
  </si>
  <si>
    <t>木瓜</t>
    <phoneticPr fontId="2" type="noConversion"/>
  </si>
  <si>
    <t>椰漿</t>
  </si>
  <si>
    <t>椰漿</t>
    <phoneticPr fontId="2" type="noConversion"/>
  </si>
  <si>
    <t>椰青水</t>
  </si>
  <si>
    <t>椰青水</t>
    <phoneticPr fontId="2" type="noConversion"/>
  </si>
  <si>
    <t>大菜粉</t>
  </si>
  <si>
    <t>大菜粉</t>
    <phoneticPr fontId="2" type="noConversion"/>
  </si>
  <si>
    <r>
      <rPr>
        <b/>
        <sz val="12"/>
        <color theme="1"/>
        <rFont val="新細明體"/>
        <family val="1"/>
        <charset val="136"/>
      </rPr>
      <t>菜</t>
    </r>
    <r>
      <rPr>
        <b/>
        <sz val="12"/>
        <color theme="1"/>
        <rFont val="Calibri"/>
        <family val="2"/>
      </rPr>
      <t>ID</t>
    </r>
  </si>
  <si>
    <r>
      <rPr>
        <b/>
        <sz val="12"/>
        <color theme="1"/>
        <rFont val="新細明體"/>
        <family val="1"/>
        <charset val="136"/>
      </rPr>
      <t>類別</t>
    </r>
  </si>
  <si>
    <r>
      <rPr>
        <b/>
        <sz val="12"/>
        <color theme="1"/>
        <rFont val="新細明體"/>
        <family val="1"/>
        <charset val="136"/>
      </rPr>
      <t>材料</t>
    </r>
  </si>
  <si>
    <r>
      <rPr>
        <b/>
        <sz val="12"/>
        <color theme="1"/>
        <rFont val="新細明體"/>
        <family val="1"/>
        <charset val="136"/>
      </rPr>
      <t>份量</t>
    </r>
  </si>
  <si>
    <r>
      <rPr>
        <b/>
        <sz val="12"/>
        <color theme="1"/>
        <rFont val="新細明體"/>
        <family val="1"/>
        <charset val="136"/>
      </rPr>
      <t>單位</t>
    </r>
  </si>
  <si>
    <r>
      <rPr>
        <sz val="12"/>
        <color theme="1"/>
        <rFont val="新細明體"/>
        <family val="2"/>
        <charset val="136"/>
      </rPr>
      <t>食材</t>
    </r>
    <phoneticPr fontId="2" type="noConversion"/>
  </si>
  <si>
    <r>
      <rPr>
        <sz val="12"/>
        <color theme="1"/>
        <rFont val="新細明體"/>
        <family val="2"/>
        <charset val="136"/>
      </rPr>
      <t>兩</t>
    </r>
    <phoneticPr fontId="2" type="noConversion"/>
  </si>
  <si>
    <r>
      <rPr>
        <sz val="12"/>
        <color theme="1"/>
        <rFont val="新細明體"/>
        <family val="2"/>
        <charset val="136"/>
      </rPr>
      <t>匙</t>
    </r>
    <phoneticPr fontId="2" type="noConversion"/>
  </si>
  <si>
    <r>
      <rPr>
        <sz val="12"/>
        <color theme="1"/>
        <rFont val="新細明體"/>
        <family val="2"/>
        <charset val="136"/>
      </rPr>
      <t>調味</t>
    </r>
    <phoneticPr fontId="2" type="noConversion"/>
  </si>
  <si>
    <r>
      <rPr>
        <sz val="12"/>
        <color theme="1"/>
        <rFont val="新細明體"/>
        <family val="2"/>
        <charset val="136"/>
      </rPr>
      <t>茶匙</t>
    </r>
    <phoneticPr fontId="2" type="noConversion"/>
  </si>
  <si>
    <r>
      <rPr>
        <sz val="12"/>
        <color theme="1"/>
        <rFont val="新細明體"/>
        <family val="2"/>
        <charset val="136"/>
      </rPr>
      <t>裝飾</t>
    </r>
    <phoneticPr fontId="2" type="noConversion"/>
  </si>
  <si>
    <r>
      <rPr>
        <sz val="12"/>
        <color theme="1"/>
        <rFont val="新細明體"/>
        <family val="2"/>
        <charset val="136"/>
      </rPr>
      <t>適量</t>
    </r>
    <phoneticPr fontId="2" type="noConversion"/>
  </si>
  <si>
    <r>
      <rPr>
        <sz val="12"/>
        <color theme="1"/>
        <rFont val="新細明體"/>
        <family val="2"/>
        <charset val="136"/>
      </rPr>
      <t>個</t>
    </r>
    <phoneticPr fontId="2" type="noConversion"/>
  </si>
  <si>
    <t>G</t>
    <phoneticPr fontId="2" type="noConversion"/>
  </si>
  <si>
    <r>
      <rPr>
        <b/>
        <sz val="12"/>
        <color theme="1"/>
        <rFont val="新細明體"/>
        <family val="1"/>
        <charset val="136"/>
      </rPr>
      <t>步驟</t>
    </r>
  </si>
  <si>
    <r>
      <rPr>
        <b/>
        <sz val="12"/>
        <color theme="1"/>
        <rFont val="新細明體"/>
        <family val="1"/>
        <charset val="136"/>
      </rPr>
      <t>內容</t>
    </r>
  </si>
  <si>
    <r>
      <rPr>
        <sz val="12"/>
        <color theme="1"/>
        <rFont val="新細明體"/>
        <family val="2"/>
        <charset val="136"/>
      </rPr>
      <t>將木瓜橫切一半</t>
    </r>
    <r>
      <rPr>
        <sz val="12"/>
        <color theme="1"/>
        <rFont val="Calibri"/>
        <family val="2"/>
      </rPr>
      <t xml:space="preserve">, </t>
    </r>
    <r>
      <rPr>
        <sz val="12"/>
        <color theme="1"/>
        <rFont val="新細明體"/>
        <family val="2"/>
        <charset val="136"/>
      </rPr>
      <t>挖去中間的籽</t>
    </r>
    <r>
      <rPr>
        <sz val="12"/>
        <color theme="1"/>
        <rFont val="Calibri"/>
        <family val="2"/>
      </rPr>
      <t xml:space="preserve">, </t>
    </r>
    <r>
      <rPr>
        <sz val="12"/>
        <color theme="1"/>
        <rFont val="新細明體"/>
        <family val="2"/>
        <charset val="136"/>
      </rPr>
      <t>做成木瓜盅</t>
    </r>
    <phoneticPr fontId="2" type="noConversion"/>
  </si>
  <si>
    <t>紫薯</t>
  </si>
  <si>
    <t>紫薯</t>
    <phoneticPr fontId="2" type="noConversion"/>
  </si>
  <si>
    <t>淡忌廉</t>
  </si>
  <si>
    <t>淡忌廉</t>
    <phoneticPr fontId="2" type="noConversion"/>
  </si>
  <si>
    <t>牛奶</t>
  </si>
  <si>
    <t>牛奶</t>
    <phoneticPr fontId="2" type="noConversion"/>
  </si>
  <si>
    <t>蒟蒻粉</t>
  </si>
  <si>
    <t>蒟蒻粉</t>
    <phoneticPr fontId="2" type="noConversion"/>
  </si>
  <si>
    <t>湯匙</t>
    <phoneticPr fontId="2" type="noConversion"/>
  </si>
  <si>
    <r>
      <rPr>
        <sz val="12"/>
        <color theme="1"/>
        <rFont val="細明體"/>
        <family val="2"/>
        <charset val="136"/>
      </rPr>
      <t>紫心薯蒸熟去皮</t>
    </r>
    <r>
      <rPr>
        <sz val="12"/>
        <color theme="1"/>
        <rFont val="Calibri"/>
        <family val="2"/>
      </rPr>
      <t>,</t>
    </r>
    <r>
      <rPr>
        <sz val="12"/>
        <color theme="1"/>
        <rFont val="細明體"/>
        <family val="2"/>
        <charset val="136"/>
      </rPr>
      <t>用刀壓成泥</t>
    </r>
    <phoneticPr fontId="2" type="noConversion"/>
  </si>
  <si>
    <r>
      <rPr>
        <sz val="12"/>
        <color theme="1"/>
        <rFont val="細明體"/>
        <family val="2"/>
        <charset val="136"/>
      </rPr>
      <t>餘下的牛奶和忌廉放入煲內用細火加熱</t>
    </r>
    <r>
      <rPr>
        <sz val="12"/>
        <color theme="1"/>
        <rFont val="Calibri"/>
        <family val="2"/>
      </rPr>
      <t>,</t>
    </r>
    <r>
      <rPr>
        <sz val="12"/>
        <color theme="1"/>
        <rFont val="細明體"/>
        <family val="2"/>
        <charset val="136"/>
      </rPr>
      <t>再加入糖和蒟蒻粉</t>
    </r>
    <r>
      <rPr>
        <sz val="12"/>
        <color theme="1"/>
        <rFont val="Calibri"/>
        <family val="2"/>
      </rPr>
      <t>,</t>
    </r>
    <r>
      <rPr>
        <sz val="12"/>
        <color theme="1"/>
        <rFont val="細明體"/>
        <family val="2"/>
        <charset val="136"/>
      </rPr>
      <t>慢慢攪拌直至完全溶化</t>
    </r>
    <phoneticPr fontId="2" type="noConversion"/>
  </si>
  <si>
    <t>布包豆腐</t>
  </si>
  <si>
    <t>布包豆腐</t>
    <phoneticPr fontId="2" type="noConversion"/>
  </si>
  <si>
    <t>白菌</t>
  </si>
  <si>
    <t>白菌</t>
    <phoneticPr fontId="2" type="noConversion"/>
  </si>
  <si>
    <t>咖喱粉</t>
  </si>
  <si>
    <t>咖喱粉</t>
    <phoneticPr fontId="2" type="noConversion"/>
  </si>
  <si>
    <t>黃薑粉</t>
  </si>
  <si>
    <t>黃薑粉</t>
    <phoneticPr fontId="2" type="noConversion"/>
  </si>
  <si>
    <t>上湯</t>
  </si>
  <si>
    <t>上湯</t>
    <phoneticPr fontId="2" type="noConversion"/>
  </si>
  <si>
    <t>白飯</t>
  </si>
  <si>
    <t>白飯</t>
    <phoneticPr fontId="2" type="noConversion"/>
  </si>
  <si>
    <t>芝士</t>
  </si>
  <si>
    <t>芝士</t>
    <phoneticPr fontId="2" type="noConversion"/>
  </si>
  <si>
    <t>牛油</t>
  </si>
  <si>
    <t>牛油</t>
    <phoneticPr fontId="2" type="noConversion"/>
  </si>
  <si>
    <t>忌廉</t>
  </si>
  <si>
    <t>忌廉</t>
    <phoneticPr fontId="2" type="noConversion"/>
  </si>
  <si>
    <t>蕃茄</t>
  </si>
  <si>
    <t>蕃茄</t>
    <phoneticPr fontId="2" type="noConversion"/>
  </si>
  <si>
    <t>薯仔</t>
  </si>
  <si>
    <t>薯仔</t>
    <phoneticPr fontId="2" type="noConversion"/>
  </si>
  <si>
    <t>紅蘿蔔</t>
  </si>
  <si>
    <t>紅蘿蔔</t>
    <phoneticPr fontId="2" type="noConversion"/>
  </si>
  <si>
    <t>蘑菇</t>
  </si>
  <si>
    <t>蘑菇</t>
    <phoneticPr fontId="2" type="noConversion"/>
  </si>
  <si>
    <t>胡椒粉</t>
  </si>
  <si>
    <t>胡椒粉</t>
    <phoneticPr fontId="2" type="noConversion"/>
  </si>
  <si>
    <t>蕃茄膏</t>
  </si>
  <si>
    <t>蕃茄膏</t>
    <phoneticPr fontId="2" type="noConversion"/>
  </si>
  <si>
    <t>條</t>
    <phoneticPr fontId="2" type="noConversion"/>
  </si>
  <si>
    <t>餐包</t>
  </si>
  <si>
    <t>餐包</t>
    <phoneticPr fontId="2" type="noConversion"/>
  </si>
  <si>
    <t>西蘭花</t>
  </si>
  <si>
    <t>西蘭花</t>
    <phoneticPr fontId="2" type="noConversion"/>
  </si>
  <si>
    <t>沙律醬</t>
  </si>
  <si>
    <t>沙律醬</t>
    <phoneticPr fontId="2" type="noConversion"/>
  </si>
  <si>
    <t>芥末</t>
  </si>
  <si>
    <t>芥末</t>
    <phoneticPr fontId="2" type="noConversion"/>
  </si>
  <si>
    <t>蜜糖</t>
  </si>
  <si>
    <t>蜜糖</t>
    <phoneticPr fontId="2" type="noConversion"/>
  </si>
  <si>
    <t>completed</t>
    <phoneticPr fontId="2" type="noConversion"/>
  </si>
  <si>
    <t>食材</t>
  </si>
  <si>
    <t>調味</t>
  </si>
  <si>
    <t>免治肉</t>
  </si>
  <si>
    <t>豆腐</t>
  </si>
  <si>
    <t>榨菜</t>
  </si>
  <si>
    <t>薑蓉</t>
  </si>
  <si>
    <t>蒜蓉</t>
  </si>
  <si>
    <t>蒜蓉</t>
    <phoneticPr fontId="2" type="noConversion"/>
  </si>
  <si>
    <t>豆豉</t>
  </si>
  <si>
    <t>黑胡椒</t>
  </si>
  <si>
    <t>辣豆瓣醬</t>
  </si>
  <si>
    <t>老抽</t>
  </si>
  <si>
    <t>麻油</t>
  </si>
  <si>
    <t>花椒油</t>
  </si>
  <si>
    <t>花椒油</t>
    <phoneticPr fontId="2" type="noConversion"/>
  </si>
  <si>
    <t>雞粉</t>
  </si>
  <si>
    <t>雞粉</t>
    <phoneticPr fontId="2" type="noConversion"/>
  </si>
  <si>
    <t>茄子</t>
  </si>
  <si>
    <t>葱</t>
  </si>
  <si>
    <t>椰菜</t>
    <phoneticPr fontId="2" type="noConversion"/>
  </si>
  <si>
    <t>g</t>
  </si>
  <si>
    <t>茶匙</t>
  </si>
  <si>
    <t>適量</t>
  </si>
  <si>
    <t xml:space="preserve"> - </t>
  </si>
  <si>
    <t>裝飾</t>
  </si>
  <si>
    <t>湯匙</t>
  </si>
  <si>
    <t>沸水焯豆腐 1 分鐘去味。</t>
  </si>
  <si>
    <r>
      <rPr>
        <sz val="12"/>
        <color theme="1"/>
        <rFont val="微軟正黑體"/>
        <family val="2"/>
        <charset val="136"/>
      </rPr>
      <t>盛起肉待用。留油，下花椒油、辣豆瓣醬</t>
    </r>
    <r>
      <rPr>
        <sz val="12"/>
        <color theme="1"/>
        <rFont val="Calibri"/>
        <family val="2"/>
      </rPr>
      <t xml:space="preserve"> ,</t>
    </r>
    <r>
      <rPr>
        <sz val="12"/>
        <color theme="1"/>
        <rFont val="微軟正黑體"/>
        <family val="2"/>
        <charset val="136"/>
      </rPr>
      <t>再落薑蓉、蒜蓉。</t>
    </r>
    <phoneticPr fontId="2" type="noConversion"/>
  </si>
  <si>
    <r>
      <rPr>
        <sz val="12"/>
        <color theme="1"/>
        <rFont val="細明體"/>
        <family val="2"/>
        <charset val="136"/>
      </rPr>
      <t>加入椰菜</t>
    </r>
    <r>
      <rPr>
        <sz val="12"/>
        <color theme="1"/>
        <rFont val="Calibri"/>
        <family val="2"/>
      </rPr>
      <t>,</t>
    </r>
    <r>
      <rPr>
        <sz val="12"/>
        <color theme="1"/>
        <rFont val="細明體"/>
        <family val="2"/>
        <charset val="136"/>
      </rPr>
      <t>蕃茄膏</t>
    </r>
    <r>
      <rPr>
        <sz val="12"/>
        <color theme="1"/>
        <rFont val="Calibri"/>
        <family val="2"/>
      </rPr>
      <t xml:space="preserve">, </t>
    </r>
    <r>
      <rPr>
        <sz val="12"/>
        <color theme="1"/>
        <rFont val="細明體"/>
        <family val="2"/>
        <charset val="136"/>
      </rPr>
      <t>上湯</t>
    </r>
    <r>
      <rPr>
        <sz val="12"/>
        <color theme="1"/>
        <rFont val="Calibri"/>
        <family val="2"/>
      </rPr>
      <t xml:space="preserve">, </t>
    </r>
    <r>
      <rPr>
        <sz val="12"/>
        <color theme="1"/>
        <rFont val="細明體"/>
        <family val="2"/>
        <charset val="136"/>
      </rPr>
      <t>以中火煮滾後改以小火煮</t>
    </r>
    <r>
      <rPr>
        <sz val="12"/>
        <color theme="1"/>
        <rFont val="Calibri"/>
        <family val="2"/>
      </rPr>
      <t>50</t>
    </r>
    <r>
      <rPr>
        <sz val="12"/>
        <color theme="1"/>
        <rFont val="細明體"/>
        <family val="2"/>
        <charset val="136"/>
      </rPr>
      <t>分鐘</t>
    </r>
    <r>
      <rPr>
        <sz val="12"/>
        <color theme="1"/>
        <rFont val="Calibri"/>
        <family val="2"/>
      </rPr>
      <t xml:space="preserve">, </t>
    </r>
    <r>
      <rPr>
        <sz val="12"/>
        <color theme="1"/>
        <rFont val="細明體"/>
        <family val="2"/>
        <charset val="136"/>
      </rPr>
      <t>煮後加入糖和胡椒粉即可</t>
    </r>
    <phoneticPr fontId="2" type="noConversion"/>
  </si>
  <si>
    <r>
      <rPr>
        <sz val="12"/>
        <color theme="1"/>
        <rFont val="細明體"/>
        <family val="2"/>
        <charset val="136"/>
      </rPr>
      <t>煮熟雞蛋後切碎</t>
    </r>
    <r>
      <rPr>
        <sz val="12"/>
        <color theme="1"/>
        <rFont val="Calibri"/>
        <family val="2"/>
      </rPr>
      <t xml:space="preserve">, </t>
    </r>
    <r>
      <rPr>
        <sz val="12"/>
        <color theme="1"/>
        <rFont val="細明體"/>
        <family val="2"/>
        <charset val="136"/>
      </rPr>
      <t>焯熟西蘭花</t>
    </r>
    <r>
      <rPr>
        <sz val="12"/>
        <color theme="1"/>
        <rFont val="Calibri"/>
        <family val="2"/>
      </rPr>
      <t>,</t>
    </r>
    <r>
      <rPr>
        <sz val="12"/>
        <color theme="1"/>
        <rFont val="細明體"/>
        <family val="2"/>
        <charset val="136"/>
      </rPr>
      <t>紅蘿蔔切碎</t>
    </r>
    <r>
      <rPr>
        <sz val="12"/>
        <color theme="1"/>
        <rFont val="Calibri"/>
        <family val="2"/>
      </rPr>
      <t xml:space="preserve">, </t>
    </r>
    <r>
      <rPr>
        <sz val="12"/>
        <color theme="1"/>
        <rFont val="細明體"/>
        <family val="2"/>
        <charset val="136"/>
      </rPr>
      <t>加少許鹽將醬料拌勻</t>
    </r>
    <phoneticPr fontId="2" type="noConversion"/>
  </si>
  <si>
    <r>
      <rPr>
        <sz val="12"/>
        <color theme="1"/>
        <rFont val="細明體"/>
        <family val="2"/>
        <charset val="136"/>
      </rPr>
      <t>薯仔去皮切薄片蒸熟</t>
    </r>
    <r>
      <rPr>
        <sz val="12"/>
        <color theme="1"/>
        <rFont val="Calibri"/>
        <family val="2"/>
      </rPr>
      <t xml:space="preserve">, </t>
    </r>
    <r>
      <rPr>
        <sz val="12"/>
        <color theme="1"/>
        <rFont val="細明體"/>
        <family val="2"/>
        <charset val="136"/>
      </rPr>
      <t>壓成蓉</t>
    </r>
    <r>
      <rPr>
        <sz val="12"/>
        <color theme="1"/>
        <rFont val="Calibri"/>
        <family val="2"/>
      </rPr>
      <t>,</t>
    </r>
    <r>
      <rPr>
        <sz val="12"/>
        <color theme="1"/>
        <rFont val="細明體"/>
        <family val="2"/>
        <charset val="136"/>
      </rPr>
      <t>放入雞蛋碎</t>
    </r>
    <r>
      <rPr>
        <sz val="12"/>
        <color theme="1"/>
        <rFont val="Calibri"/>
        <family val="2"/>
      </rPr>
      <t xml:space="preserve">, </t>
    </r>
    <r>
      <rPr>
        <sz val="12"/>
        <color theme="1"/>
        <rFont val="細明體"/>
        <family val="2"/>
        <charset val="136"/>
      </rPr>
      <t>西蘭花</t>
    </r>
    <r>
      <rPr>
        <sz val="12"/>
        <color theme="1"/>
        <rFont val="Calibri"/>
        <family val="2"/>
      </rPr>
      <t xml:space="preserve">, </t>
    </r>
    <r>
      <rPr>
        <sz val="12"/>
        <color theme="1"/>
        <rFont val="細明體"/>
        <family val="2"/>
        <charset val="136"/>
      </rPr>
      <t>紅蘿蔔及醬料</t>
    </r>
    <phoneticPr fontId="2" type="noConversion"/>
  </si>
  <si>
    <r>
      <rPr>
        <sz val="12"/>
        <color theme="1"/>
        <rFont val="細明體"/>
        <family val="2"/>
        <charset val="136"/>
      </rPr>
      <t>放入己切開的餐包內即成</t>
    </r>
    <phoneticPr fontId="2" type="noConversion"/>
  </si>
  <si>
    <r>
      <rPr>
        <sz val="12"/>
        <color theme="1"/>
        <rFont val="細明體"/>
        <family val="2"/>
        <charset val="136"/>
      </rPr>
      <t>把椰青水和椰漿</t>
    </r>
    <r>
      <rPr>
        <sz val="12"/>
        <color theme="1"/>
        <rFont val="Calibri"/>
        <family val="2"/>
      </rPr>
      <t xml:space="preserve">, </t>
    </r>
    <r>
      <rPr>
        <sz val="12"/>
        <color theme="1"/>
        <rFont val="細明體"/>
        <family val="2"/>
        <charset val="136"/>
      </rPr>
      <t>牛奶及糖攪勻</t>
    </r>
    <r>
      <rPr>
        <sz val="12"/>
        <color theme="1"/>
        <rFont val="Calibri"/>
        <family val="2"/>
      </rPr>
      <t>,</t>
    </r>
    <r>
      <rPr>
        <sz val="12"/>
        <color theme="1"/>
        <rFont val="細明體"/>
        <family val="2"/>
        <charset val="136"/>
      </rPr>
      <t>加入大菜粉</t>
    </r>
    <r>
      <rPr>
        <sz val="12"/>
        <color theme="1"/>
        <rFont val="Calibri"/>
        <family val="2"/>
      </rPr>
      <t xml:space="preserve">, </t>
    </r>
    <r>
      <rPr>
        <sz val="12"/>
        <color theme="1"/>
        <rFont val="細明體"/>
        <family val="2"/>
        <charset val="136"/>
      </rPr>
      <t>煮至糖溶化後放涼</t>
    </r>
    <phoneticPr fontId="2" type="noConversion"/>
  </si>
  <si>
    <r>
      <rPr>
        <sz val="12"/>
        <color theme="1"/>
        <rFont val="細明體"/>
        <family val="2"/>
        <charset val="136"/>
      </rPr>
      <t>倒入木瓜盅內</t>
    </r>
    <r>
      <rPr>
        <sz val="12"/>
        <color theme="1"/>
        <rFont val="Calibri"/>
        <family val="2"/>
      </rPr>
      <t xml:space="preserve">, </t>
    </r>
    <r>
      <rPr>
        <sz val="12"/>
        <color theme="1"/>
        <rFont val="細明體"/>
        <family val="2"/>
        <charset val="136"/>
      </rPr>
      <t>放入雪櫃冷藏至凝結</t>
    </r>
    <phoneticPr fontId="2" type="noConversion"/>
  </si>
  <si>
    <r>
      <rPr>
        <sz val="12"/>
        <color theme="1"/>
        <rFont val="細明體"/>
        <family val="2"/>
        <charset val="136"/>
      </rPr>
      <t>食時切成小塊即可</t>
    </r>
    <phoneticPr fontId="2" type="noConversion"/>
  </si>
  <si>
    <r>
      <rPr>
        <sz val="12"/>
        <color theme="1"/>
        <rFont val="細明體"/>
        <family val="2"/>
        <charset val="136"/>
      </rPr>
      <t>把</t>
    </r>
    <r>
      <rPr>
        <sz val="12"/>
        <color theme="1"/>
        <rFont val="Calibri"/>
        <family val="2"/>
      </rPr>
      <t>150ML</t>
    </r>
    <r>
      <rPr>
        <sz val="12"/>
        <color theme="1"/>
        <rFont val="細明體"/>
        <family val="2"/>
        <charset val="136"/>
      </rPr>
      <t>牛奶加入紫薯泥中</t>
    </r>
    <r>
      <rPr>
        <sz val="12"/>
        <color theme="1"/>
        <rFont val="Calibri"/>
        <family val="2"/>
      </rPr>
      <t>,</t>
    </r>
    <r>
      <rPr>
        <sz val="12"/>
        <color theme="1"/>
        <rFont val="細明體"/>
        <family val="2"/>
        <charset val="136"/>
      </rPr>
      <t>放入攪拌機攪勻</t>
    </r>
    <phoneticPr fontId="2" type="noConversion"/>
  </si>
  <si>
    <r>
      <rPr>
        <sz val="12"/>
        <color theme="1"/>
        <rFont val="細明體"/>
        <family val="2"/>
        <charset val="136"/>
      </rPr>
      <t>溶化後逐少倒進紫薯泥內</t>
    </r>
    <r>
      <rPr>
        <sz val="12"/>
        <color theme="1"/>
        <rFont val="Calibri"/>
        <family val="2"/>
      </rPr>
      <t>,</t>
    </r>
    <r>
      <rPr>
        <sz val="12"/>
        <color theme="1"/>
        <rFont val="細明體"/>
        <family val="2"/>
        <charset val="136"/>
      </rPr>
      <t>直至均勻</t>
    </r>
    <phoneticPr fontId="2" type="noConversion"/>
  </si>
  <si>
    <r>
      <rPr>
        <sz val="12"/>
        <color theme="1"/>
        <rFont val="細明體"/>
        <family val="2"/>
        <charset val="136"/>
      </rPr>
      <t>最後倒進布甸杯內</t>
    </r>
    <r>
      <rPr>
        <sz val="12"/>
        <color theme="1"/>
        <rFont val="Calibri"/>
        <family val="2"/>
      </rPr>
      <t>,</t>
    </r>
    <r>
      <rPr>
        <sz val="12"/>
        <color theme="1"/>
        <rFont val="細明體"/>
        <family val="2"/>
        <charset val="136"/>
      </rPr>
      <t>合上蓋子放在雪櫃裡冷藏至凝固即可</t>
    </r>
    <phoneticPr fontId="2" type="noConversion"/>
  </si>
  <si>
    <r>
      <rPr>
        <sz val="12"/>
        <color theme="1"/>
        <rFont val="細明體"/>
        <family val="2"/>
        <charset val="136"/>
      </rPr>
      <t>豆腐切方塊</t>
    </r>
    <r>
      <rPr>
        <sz val="12"/>
        <color theme="1"/>
        <rFont val="Calibri"/>
        <family val="2"/>
      </rPr>
      <t xml:space="preserve">, </t>
    </r>
    <r>
      <rPr>
        <sz val="12"/>
        <color theme="1"/>
        <rFont val="細明體"/>
        <family val="2"/>
        <charset val="136"/>
      </rPr>
      <t>炸至金黃色盛起備用</t>
    </r>
    <phoneticPr fontId="2" type="noConversion"/>
  </si>
  <si>
    <r>
      <rPr>
        <sz val="12"/>
        <color theme="1"/>
        <rFont val="細明體"/>
        <family val="2"/>
        <charset val="136"/>
      </rPr>
      <t>用中火燒熱鑊</t>
    </r>
    <r>
      <rPr>
        <sz val="12"/>
        <color theme="1"/>
        <rFont val="Calibri"/>
        <family val="2"/>
      </rPr>
      <t>,</t>
    </r>
    <r>
      <rPr>
        <sz val="12"/>
        <color theme="1"/>
        <rFont val="細明體"/>
        <family val="2"/>
        <charset val="136"/>
      </rPr>
      <t>下牛油</t>
    </r>
    <r>
      <rPr>
        <sz val="12"/>
        <color theme="1"/>
        <rFont val="Calibri"/>
        <family val="2"/>
      </rPr>
      <t xml:space="preserve">, </t>
    </r>
    <r>
      <rPr>
        <sz val="12"/>
        <color theme="1"/>
        <rFont val="細明體"/>
        <family val="2"/>
        <charset val="136"/>
      </rPr>
      <t>待溶後加黃薑粉和咖喱粉炒香</t>
    </r>
    <r>
      <rPr>
        <sz val="12"/>
        <color theme="1"/>
        <rFont val="Calibri"/>
        <family val="2"/>
      </rPr>
      <t>,</t>
    </r>
    <r>
      <rPr>
        <sz val="12"/>
        <color theme="1"/>
        <rFont val="細明體"/>
        <family val="2"/>
        <charset val="136"/>
      </rPr>
      <t>加入上湯</t>
    </r>
    <r>
      <rPr>
        <sz val="12"/>
        <color theme="1"/>
        <rFont val="Calibri"/>
        <family val="2"/>
      </rPr>
      <t>,</t>
    </r>
    <r>
      <rPr>
        <sz val="12"/>
        <color theme="1"/>
        <rFont val="細明體"/>
        <family val="2"/>
        <charset val="136"/>
      </rPr>
      <t>滾後加奶和忌廉</t>
    </r>
    <r>
      <rPr>
        <sz val="12"/>
        <color theme="1"/>
        <rFont val="Calibri"/>
        <family val="2"/>
      </rPr>
      <t>,</t>
    </r>
    <r>
      <rPr>
        <sz val="12"/>
        <color theme="1"/>
        <rFont val="細明體"/>
        <family val="2"/>
        <charset val="136"/>
      </rPr>
      <t>下鹽糖調味</t>
    </r>
    <phoneticPr fontId="2" type="noConversion"/>
  </si>
  <si>
    <r>
      <rPr>
        <sz val="12"/>
        <color theme="1"/>
        <rFont val="細明體"/>
        <family val="2"/>
        <charset val="136"/>
      </rPr>
      <t>最後加入豆腐</t>
    </r>
    <r>
      <rPr>
        <sz val="12"/>
        <color theme="1"/>
        <rFont val="Calibri"/>
        <family val="2"/>
      </rPr>
      <t>,</t>
    </r>
    <r>
      <rPr>
        <sz val="12"/>
        <color theme="1"/>
        <rFont val="細明體"/>
        <family val="2"/>
        <charset val="136"/>
      </rPr>
      <t>切片白菌及椰漿</t>
    </r>
    <r>
      <rPr>
        <sz val="12"/>
        <color theme="1"/>
        <rFont val="Calibri"/>
        <family val="2"/>
      </rPr>
      <t>,</t>
    </r>
    <r>
      <rPr>
        <sz val="12"/>
        <color theme="1"/>
        <rFont val="細明體"/>
        <family val="2"/>
        <charset val="136"/>
      </rPr>
      <t>再加芡汁煮濃稠一點</t>
    </r>
    <phoneticPr fontId="2" type="noConversion"/>
  </si>
  <si>
    <r>
      <rPr>
        <sz val="12"/>
        <color theme="1"/>
        <rFont val="細明體"/>
        <family val="2"/>
        <charset val="136"/>
      </rPr>
      <t>白飯放在焗碟上</t>
    </r>
    <r>
      <rPr>
        <sz val="12"/>
        <color theme="1"/>
        <rFont val="Calibri"/>
        <family val="2"/>
      </rPr>
      <t>,</t>
    </r>
    <r>
      <rPr>
        <sz val="12"/>
        <color theme="1"/>
        <rFont val="細明體"/>
        <family val="2"/>
        <charset val="136"/>
      </rPr>
      <t>再將煮好的豆腐淋在飯面</t>
    </r>
    <r>
      <rPr>
        <sz val="12"/>
        <color theme="1"/>
        <rFont val="Calibri"/>
        <family val="2"/>
      </rPr>
      <t>,</t>
    </r>
    <r>
      <rPr>
        <sz val="12"/>
        <color theme="1"/>
        <rFont val="細明體"/>
        <family val="2"/>
        <charset val="136"/>
      </rPr>
      <t>再灑點芝士</t>
    </r>
    <phoneticPr fontId="2" type="noConversion"/>
  </si>
  <si>
    <r>
      <rPr>
        <sz val="12"/>
        <color theme="1"/>
        <rFont val="細明體"/>
        <family val="2"/>
        <charset val="136"/>
      </rPr>
      <t>預熱焗爐二百度</t>
    </r>
    <r>
      <rPr>
        <sz val="12"/>
        <color theme="1"/>
        <rFont val="Calibri"/>
        <family val="2"/>
      </rPr>
      <t>,</t>
    </r>
    <r>
      <rPr>
        <sz val="12"/>
        <color theme="1"/>
        <rFont val="細明體"/>
        <family val="2"/>
        <charset val="136"/>
      </rPr>
      <t>焗約</t>
    </r>
    <r>
      <rPr>
        <sz val="12"/>
        <color theme="1"/>
        <rFont val="Calibri"/>
        <family val="2"/>
      </rPr>
      <t>5-8</t>
    </r>
    <r>
      <rPr>
        <sz val="12"/>
        <color theme="1"/>
        <rFont val="細明體"/>
        <family val="2"/>
        <charset val="136"/>
      </rPr>
      <t>分鐘即成</t>
    </r>
    <phoneticPr fontId="2" type="noConversion"/>
  </si>
  <si>
    <r>
      <rPr>
        <sz val="12"/>
        <color theme="1"/>
        <rFont val="細明體"/>
        <family val="2"/>
        <charset val="136"/>
      </rPr>
      <t>煮沸水後</t>
    </r>
    <r>
      <rPr>
        <sz val="12"/>
        <color theme="1"/>
        <rFont val="Calibri"/>
        <family val="2"/>
      </rPr>
      <t xml:space="preserve">, </t>
    </r>
    <r>
      <rPr>
        <sz val="12"/>
        <color theme="1"/>
        <rFont val="細明體"/>
        <family val="2"/>
        <charset val="136"/>
      </rPr>
      <t>放入切粒薯仔</t>
    </r>
    <r>
      <rPr>
        <sz val="12"/>
        <color theme="1"/>
        <rFont val="Calibri"/>
        <family val="2"/>
      </rPr>
      <t>,</t>
    </r>
    <r>
      <rPr>
        <sz val="12"/>
        <color theme="1"/>
        <rFont val="細明體"/>
        <family val="2"/>
        <charset val="136"/>
      </rPr>
      <t>切粒紅蘿蔔</t>
    </r>
    <r>
      <rPr>
        <sz val="12"/>
        <color theme="1"/>
        <rFont val="Calibri"/>
        <family val="2"/>
      </rPr>
      <t>,</t>
    </r>
    <r>
      <rPr>
        <sz val="12"/>
        <color theme="1"/>
        <rFont val="細明體"/>
        <family val="2"/>
        <charset val="136"/>
      </rPr>
      <t>去皮切粒蕃茄</t>
    </r>
    <r>
      <rPr>
        <sz val="12"/>
        <color theme="1"/>
        <rFont val="Calibri"/>
        <family val="2"/>
      </rPr>
      <t>,</t>
    </r>
    <r>
      <rPr>
        <sz val="12"/>
        <color theme="1"/>
        <rFont val="細明體"/>
        <family val="2"/>
        <charset val="136"/>
      </rPr>
      <t>中火熬煮</t>
    </r>
    <phoneticPr fontId="2" type="noConversion"/>
  </si>
  <si>
    <r>
      <rPr>
        <sz val="12"/>
        <color theme="1"/>
        <rFont val="細明體"/>
        <family val="2"/>
        <charset val="136"/>
      </rPr>
      <t>用平底鍋煮溶牛油</t>
    </r>
    <r>
      <rPr>
        <sz val="12"/>
        <color theme="1"/>
        <rFont val="Calibri"/>
        <family val="2"/>
      </rPr>
      <t>,</t>
    </r>
    <r>
      <rPr>
        <sz val="12"/>
        <color theme="1"/>
        <rFont val="細明體"/>
        <family val="2"/>
        <charset val="136"/>
      </rPr>
      <t>放入切薄片蘑菇炒熟</t>
    </r>
    <phoneticPr fontId="2" type="noConversion"/>
  </si>
  <si>
    <r>
      <rPr>
        <sz val="12"/>
        <color theme="1"/>
        <rFont val="細明體"/>
        <family val="2"/>
        <charset val="136"/>
      </rPr>
      <t>把炒熟的蘑菇放入湯鍋裡</t>
    </r>
    <phoneticPr fontId="2" type="noConversion"/>
  </si>
  <si>
    <r>
      <rPr>
        <sz val="12"/>
        <color theme="1"/>
        <rFont val="微軟正黑體"/>
        <family val="2"/>
        <charset val="136"/>
      </rPr>
      <t>下老抽，放入豆腐，小火煮</t>
    </r>
    <r>
      <rPr>
        <sz val="12"/>
        <color theme="1"/>
        <rFont val="Calibri"/>
        <family val="2"/>
      </rPr>
      <t xml:space="preserve"> 3 </t>
    </r>
    <r>
      <rPr>
        <sz val="12"/>
        <color theme="1"/>
        <rFont val="微軟正黑體"/>
        <family val="2"/>
        <charset val="136"/>
      </rPr>
      <t>分鐘。</t>
    </r>
    <phoneticPr fontId="2" type="noConversion"/>
  </si>
  <si>
    <r>
      <rPr>
        <sz val="12"/>
        <color theme="1"/>
        <rFont val="微軟正黑體"/>
        <family val="2"/>
        <charset val="136"/>
      </rPr>
      <t>下生粉水，加葱花煮</t>
    </r>
    <r>
      <rPr>
        <sz val="12"/>
        <color theme="1"/>
        <rFont val="Calibri"/>
        <family val="2"/>
      </rPr>
      <t xml:space="preserve"> 30 </t>
    </r>
    <r>
      <rPr>
        <sz val="12"/>
        <color theme="1"/>
        <rFont val="微軟正黑體"/>
        <family val="2"/>
        <charset val="136"/>
      </rPr>
      <t>秒及麻油半茶匙。</t>
    </r>
    <phoneticPr fontId="2" type="noConversion"/>
  </si>
  <si>
    <t>茄子</t>
    <phoneticPr fontId="2" type="noConversion"/>
  </si>
  <si>
    <r>
      <rPr>
        <sz val="12"/>
        <color theme="1"/>
        <rFont val="細明體"/>
        <family val="2"/>
        <charset val="136"/>
      </rPr>
      <t>湯匙</t>
    </r>
    <phoneticPr fontId="2" type="noConversion"/>
  </si>
  <si>
    <r>
      <rPr>
        <sz val="12"/>
        <color theme="1"/>
        <rFont val="細明體"/>
        <family val="2"/>
        <charset val="136"/>
      </rPr>
      <t>件</t>
    </r>
    <phoneticPr fontId="2" type="noConversion"/>
  </si>
  <si>
    <r>
      <rPr>
        <sz val="12"/>
        <color theme="1"/>
        <rFont val="細明體"/>
        <family val="2"/>
        <charset val="136"/>
      </rPr>
      <t>杯</t>
    </r>
    <phoneticPr fontId="2" type="noConversion"/>
  </si>
  <si>
    <r>
      <rPr>
        <sz val="12"/>
        <color theme="1"/>
        <rFont val="細明體"/>
        <family val="2"/>
        <charset val="136"/>
      </rPr>
      <t>茶匙</t>
    </r>
    <phoneticPr fontId="2" type="noConversion"/>
  </si>
  <si>
    <r>
      <rPr>
        <sz val="12"/>
        <color theme="1"/>
        <rFont val="細明體"/>
        <family val="2"/>
        <charset val="136"/>
      </rPr>
      <t>少許</t>
    </r>
    <phoneticPr fontId="2" type="noConversion"/>
  </si>
  <si>
    <r>
      <rPr>
        <sz val="12"/>
        <color theme="1"/>
        <rFont val="細明體"/>
        <family val="2"/>
        <charset val="136"/>
      </rPr>
      <t>芡汁</t>
    </r>
    <phoneticPr fontId="2" type="noConversion"/>
  </si>
  <si>
    <r>
      <rPr>
        <sz val="12"/>
        <color theme="1"/>
        <rFont val="細明體"/>
        <family val="2"/>
        <charset val="136"/>
      </rPr>
      <t>個</t>
    </r>
    <phoneticPr fontId="2" type="noConversion"/>
  </si>
  <si>
    <r>
      <rPr>
        <sz val="12"/>
        <color theme="1"/>
        <rFont val="細明體"/>
        <family val="2"/>
        <charset val="136"/>
      </rPr>
      <t>條</t>
    </r>
    <phoneticPr fontId="2" type="noConversion"/>
  </si>
  <si>
    <r>
      <rPr>
        <sz val="12"/>
        <color theme="1"/>
        <rFont val="細明體"/>
        <family val="2"/>
        <charset val="136"/>
      </rPr>
      <t>碗</t>
    </r>
    <phoneticPr fontId="2" type="noConversion"/>
  </si>
  <si>
    <r>
      <rPr>
        <sz val="12"/>
        <color theme="1"/>
        <rFont val="細明體"/>
        <family val="2"/>
        <charset val="136"/>
      </rPr>
      <t>隻</t>
    </r>
    <phoneticPr fontId="2" type="noConversion"/>
  </si>
  <si>
    <r>
      <rPr>
        <sz val="12"/>
        <color theme="1"/>
        <rFont val="細明體"/>
        <family val="2"/>
        <charset val="136"/>
      </rPr>
      <t>醬料</t>
    </r>
    <phoneticPr fontId="2" type="noConversion"/>
  </si>
  <si>
    <r>
      <rPr>
        <sz val="12"/>
        <color theme="1"/>
        <rFont val="新細明體"/>
        <family val="2"/>
        <charset val="136"/>
      </rPr>
      <t>磚</t>
    </r>
  </si>
  <si>
    <r>
      <rPr>
        <sz val="12"/>
        <color theme="1"/>
        <rFont val="微軟正黑體"/>
        <family val="2"/>
        <charset val="136"/>
      </rPr>
      <t>裝飾</t>
    </r>
    <phoneticPr fontId="2" type="noConversion"/>
  </si>
  <si>
    <r>
      <rPr>
        <sz val="12"/>
        <color theme="1"/>
        <rFont val="新細明體"/>
        <family val="2"/>
        <charset val="136"/>
      </rPr>
      <t>茶匙</t>
    </r>
  </si>
  <si>
    <r>
      <rPr>
        <sz val="12"/>
        <color theme="1"/>
        <rFont val="新細明體"/>
        <family val="2"/>
        <charset val="136"/>
      </rPr>
      <t>杯</t>
    </r>
  </si>
  <si>
    <r>
      <rPr>
        <sz val="12"/>
        <color theme="1"/>
        <rFont val="新細明體"/>
        <family val="2"/>
        <charset val="136"/>
      </rPr>
      <t>適量</t>
    </r>
  </si>
  <si>
    <t>燒熱油，倒入蒜頭碎中拌勻，再鋪在茄子上。</t>
  </si>
  <si>
    <t>水滾後大火蒸 10 分鐘。</t>
  </si>
  <si>
    <t>葱花放上，加鼓油，倒入熱油即成。</t>
  </si>
  <si>
    <r>
      <rPr>
        <sz val="12"/>
        <color theme="1"/>
        <rFont val="微軟正黑體"/>
        <family val="2"/>
        <charset val="136"/>
      </rPr>
      <t>蒜頭碎內加糖</t>
    </r>
    <r>
      <rPr>
        <sz val="12"/>
        <color theme="1"/>
        <rFont val="Calibri"/>
        <family val="2"/>
      </rPr>
      <t xml:space="preserve">, </t>
    </r>
    <r>
      <rPr>
        <sz val="12"/>
        <color theme="1"/>
        <rFont val="微軟正黑體"/>
        <family val="2"/>
        <charset val="136"/>
      </rPr>
      <t>生粉</t>
    </r>
    <r>
      <rPr>
        <sz val="12"/>
        <color theme="1"/>
        <rFont val="Calibri"/>
        <family val="2"/>
      </rPr>
      <t xml:space="preserve">, </t>
    </r>
    <r>
      <rPr>
        <sz val="12"/>
        <color theme="1"/>
        <rFont val="微軟正黑體"/>
        <family val="2"/>
        <charset val="136"/>
      </rPr>
      <t>雞粉，混和。</t>
    </r>
    <phoneticPr fontId="2" type="noConversion"/>
  </si>
  <si>
    <t>皮蛋</t>
  </si>
  <si>
    <t>皮蛋</t>
    <phoneticPr fontId="2" type="noConversion"/>
  </si>
  <si>
    <t>咸蛋</t>
  </si>
  <si>
    <t>咸蛋</t>
    <phoneticPr fontId="2" type="noConversion"/>
  </si>
  <si>
    <t>菠菜</t>
  </si>
  <si>
    <t>菠菜</t>
    <phoneticPr fontId="2" type="noConversion"/>
  </si>
  <si>
    <t>蒜頭</t>
  </si>
  <si>
    <t>蒜頭</t>
    <phoneticPr fontId="2" type="noConversion"/>
  </si>
  <si>
    <t>斤</t>
    <phoneticPr fontId="2" type="noConversion"/>
  </si>
  <si>
    <t>粒</t>
    <phoneticPr fontId="2" type="noConversion"/>
  </si>
  <si>
    <t>咸蛋白、黃分開；皮蛋去殼，切細塊。</t>
    <phoneticPr fontId="2" type="noConversion"/>
  </si>
  <si>
    <r>
      <rPr>
        <sz val="12"/>
        <color theme="1"/>
        <rFont val="微軟正黑體"/>
        <family val="2"/>
        <charset val="136"/>
      </rPr>
      <t>落油</t>
    </r>
    <r>
      <rPr>
        <sz val="12"/>
        <color theme="1"/>
        <rFont val="Calibri"/>
        <family val="2"/>
      </rPr>
      <t>,</t>
    </r>
    <r>
      <rPr>
        <sz val="12"/>
        <color theme="1"/>
        <rFont val="微軟正黑體"/>
        <family val="2"/>
        <charset val="136"/>
      </rPr>
      <t>原隻蒜頭炒香</t>
    </r>
    <r>
      <rPr>
        <sz val="12"/>
        <color theme="1"/>
        <rFont val="Calibri"/>
        <family val="2"/>
      </rPr>
      <t xml:space="preserve">,1 </t>
    </r>
    <r>
      <rPr>
        <sz val="12"/>
        <color theme="1"/>
        <rFont val="細明體"/>
        <family val="2"/>
        <charset val="136"/>
      </rPr>
      <t>分鐘後</t>
    </r>
    <r>
      <rPr>
        <sz val="12"/>
        <color theme="1"/>
        <rFont val="微軟正黑體"/>
        <family val="2"/>
        <charset val="136"/>
      </rPr>
      <t>，落菠菜快炒，倒些少雞湯，盛起菠菜。</t>
    </r>
    <phoneticPr fontId="2" type="noConversion"/>
  </si>
  <si>
    <t>桶蠔</t>
  </si>
  <si>
    <t>桶蠔</t>
    <phoneticPr fontId="2" type="noConversion"/>
  </si>
  <si>
    <t>薑</t>
  </si>
  <si>
    <t>薑</t>
    <phoneticPr fontId="2" type="noConversion"/>
  </si>
  <si>
    <t>蠔油</t>
  </si>
  <si>
    <t>蠔油</t>
    <phoneticPr fontId="2" type="noConversion"/>
  </si>
  <si>
    <t>紹興酒</t>
  </si>
  <si>
    <t>紹興酒</t>
    <phoneticPr fontId="2" type="noConversion"/>
  </si>
  <si>
    <t>桶</t>
    <phoneticPr fontId="2" type="noConversion"/>
  </si>
  <si>
    <t>片</t>
    <phoneticPr fontId="2" type="noConversion"/>
  </si>
  <si>
    <t>葱切段（葱白跟葱綠色部份分開），薑切片備用。</t>
    <phoneticPr fontId="2" type="noConversion"/>
  </si>
  <si>
    <t>雞翼</t>
  </si>
  <si>
    <t>雞翼</t>
    <phoneticPr fontId="2" type="noConversion"/>
  </si>
  <si>
    <t>黑芝麻</t>
  </si>
  <si>
    <t>黑芝麻</t>
    <phoneticPr fontId="2" type="noConversion"/>
  </si>
  <si>
    <t>蒜鹽</t>
  </si>
  <si>
    <t>蒜鹽</t>
    <phoneticPr fontId="2" type="noConversion"/>
  </si>
  <si>
    <t>孜然粉</t>
  </si>
  <si>
    <t>孜然粉</t>
    <phoneticPr fontId="2" type="noConversion"/>
  </si>
  <si>
    <t>五香粉</t>
  </si>
  <si>
    <t>五香粉</t>
    <phoneticPr fontId="2" type="noConversion"/>
  </si>
  <si>
    <t>生抽</t>
  </si>
  <si>
    <t>生抽</t>
    <phoneticPr fontId="2" type="noConversion"/>
  </si>
  <si>
    <t>磅</t>
    <phoneticPr fontId="2" type="noConversion"/>
  </si>
  <si>
    <t>洗淨雞翼, 抺乾, 加調味料醃幾小時</t>
    <phoneticPr fontId="2" type="noConversion"/>
  </si>
  <si>
    <t>將雞翼排放在氣炸鍋籃中，表面噴少許油。</t>
  </si>
  <si>
    <t>打開氣炸鍋將雞翼翻面</t>
    <phoneticPr fontId="2" type="noConversion"/>
  </si>
  <si>
    <r>
      <rPr>
        <sz val="12"/>
        <color theme="1"/>
        <rFont val="細明體"/>
        <family val="3"/>
        <charset val="136"/>
      </rPr>
      <t>中火熱鑊，下油炒肉</t>
    </r>
    <r>
      <rPr>
        <sz val="12"/>
        <color theme="1"/>
        <rFont val="Calibri"/>
        <family val="2"/>
      </rPr>
      <t xml:space="preserve"> 1 </t>
    </r>
    <r>
      <rPr>
        <sz val="12"/>
        <color theme="1"/>
        <rFont val="細明體"/>
        <family val="3"/>
        <charset val="136"/>
      </rPr>
      <t>分鐘，加黑胡椒。</t>
    </r>
    <phoneticPr fontId="2" type="noConversion"/>
  </si>
  <si>
    <r>
      <rPr>
        <sz val="12"/>
        <color theme="1"/>
        <rFont val="細明體"/>
        <family val="3"/>
        <charset val="136"/>
      </rPr>
      <t>下豆豉，加肉及榨菜略炒。</t>
    </r>
    <phoneticPr fontId="2" type="noConversion"/>
  </si>
  <si>
    <r>
      <rPr>
        <sz val="12"/>
        <color theme="1"/>
        <rFont val="細明體"/>
        <family val="3"/>
        <charset val="136"/>
      </rPr>
      <t>加上湯。</t>
    </r>
    <phoneticPr fontId="2" type="noConversion"/>
  </si>
  <si>
    <r>
      <rPr>
        <sz val="12"/>
        <color theme="1"/>
        <rFont val="微軟正黑體"/>
        <family val="2"/>
        <charset val="136"/>
      </rPr>
      <t>切開洗淨茄子，鋪好在碟上。</t>
    </r>
    <phoneticPr fontId="2" type="noConversion"/>
  </si>
  <si>
    <r>
      <rPr>
        <sz val="12"/>
        <color theme="1"/>
        <rFont val="微軟正黑體"/>
        <family val="2"/>
        <charset val="136"/>
      </rPr>
      <t>清鑊煮滾，落雞湯，先落咸蛋黃及皮蛋煮</t>
    </r>
    <r>
      <rPr>
        <sz val="12"/>
        <color theme="1"/>
        <rFont val="Calibri"/>
        <family val="2"/>
      </rPr>
      <t xml:space="preserve"> 2 </t>
    </r>
    <r>
      <rPr>
        <sz val="12"/>
        <color theme="1"/>
        <rFont val="微軟正黑體"/>
        <family val="2"/>
        <charset val="136"/>
      </rPr>
      <t>分鐘，加咸蛋白打散成蛋花</t>
    </r>
    <r>
      <rPr>
        <sz val="12"/>
        <color theme="1"/>
        <rFont val="Calibri"/>
        <family val="2"/>
      </rPr>
      <t xml:space="preserve">. </t>
    </r>
    <r>
      <rPr>
        <sz val="12"/>
        <color theme="1"/>
        <rFont val="細明體"/>
        <family val="2"/>
        <charset val="136"/>
      </rPr>
      <t>倒入菠菜</t>
    </r>
    <r>
      <rPr>
        <sz val="12"/>
        <color theme="1"/>
        <rFont val="Calibri"/>
        <family val="2"/>
      </rPr>
      <t xml:space="preserve">, </t>
    </r>
    <r>
      <rPr>
        <sz val="12"/>
        <color theme="1"/>
        <rFont val="細明體"/>
        <family val="2"/>
        <charset val="136"/>
      </rPr>
      <t>連湯盛起</t>
    </r>
    <phoneticPr fontId="2" type="noConversion"/>
  </si>
  <si>
    <r>
      <t>表面再撒上一層孜然粉與黑/</t>
    </r>
    <r>
      <rPr>
        <sz val="12"/>
        <color theme="1"/>
        <rFont val="新細明體"/>
        <family val="3"/>
        <charset val="136"/>
      </rPr>
      <t>白芝麻</t>
    </r>
    <r>
      <rPr>
        <sz val="12"/>
        <color theme="1"/>
        <rFont val="Calibri"/>
        <family val="2"/>
      </rPr>
      <t xml:space="preserve">, </t>
    </r>
    <r>
      <rPr>
        <sz val="12"/>
        <color theme="1"/>
        <rFont val="新細明體"/>
        <family val="3"/>
        <charset val="136"/>
      </rPr>
      <t>再以</t>
    </r>
    <r>
      <rPr>
        <sz val="12"/>
        <color theme="1"/>
        <rFont val="Calibri"/>
        <family val="2"/>
      </rPr>
      <t xml:space="preserve"> 180°C</t>
    </r>
    <r>
      <rPr>
        <sz val="12"/>
        <color theme="1"/>
        <rFont val="新細明體"/>
        <family val="3"/>
        <charset val="136"/>
      </rPr>
      <t>（或調高至</t>
    </r>
    <r>
      <rPr>
        <sz val="12"/>
        <color theme="1"/>
        <rFont val="Calibri"/>
        <family val="2"/>
      </rPr>
      <t xml:space="preserve"> 200°C </t>
    </r>
    <r>
      <rPr>
        <sz val="12"/>
        <color theme="1"/>
        <rFont val="新細明體"/>
        <family val="3"/>
        <charset val="136"/>
      </rPr>
      <t>逼出油脂）多氣炸</t>
    </r>
    <r>
      <rPr>
        <sz val="12"/>
        <color theme="1"/>
        <rFont val="Calibri"/>
        <family val="2"/>
      </rPr>
      <t xml:space="preserve"> 3 </t>
    </r>
    <r>
      <rPr>
        <sz val="12"/>
        <color theme="1"/>
        <rFont val="新細明體"/>
        <family val="3"/>
        <charset val="136"/>
      </rPr>
      <t>至</t>
    </r>
    <r>
      <rPr>
        <sz val="12"/>
        <color theme="1"/>
        <rFont val="Calibri"/>
        <family val="2"/>
      </rPr>
      <t xml:space="preserve"> 5 </t>
    </r>
    <r>
      <rPr>
        <sz val="12"/>
        <color theme="1"/>
        <rFont val="新細明體"/>
        <family val="3"/>
        <charset val="136"/>
      </rPr>
      <t>分鐘，至雞皮金黃香脆即可出鍋</t>
    </r>
  </si>
  <si>
    <r>
      <rPr>
        <sz val="12"/>
        <color theme="1"/>
        <rFont val="細明體"/>
        <family val="3"/>
        <charset val="136"/>
      </rPr>
      <t>以</t>
    </r>
    <r>
      <rPr>
        <sz val="12"/>
        <color theme="1"/>
        <rFont val="Calibri"/>
        <family val="2"/>
      </rPr>
      <t xml:space="preserve"> 180°C </t>
    </r>
    <r>
      <rPr>
        <sz val="12"/>
        <color theme="1"/>
        <rFont val="細明體"/>
        <family val="3"/>
        <charset val="136"/>
      </rPr>
      <t>氣炸約</t>
    </r>
    <r>
      <rPr>
        <sz val="12"/>
        <color theme="1"/>
        <rFont val="Calibri"/>
        <family val="2"/>
      </rPr>
      <t xml:space="preserve"> 10 </t>
    </r>
    <r>
      <rPr>
        <sz val="12"/>
        <color theme="1"/>
        <rFont val="細明體"/>
        <family val="3"/>
        <charset val="136"/>
      </rPr>
      <t>分鐘</t>
    </r>
    <phoneticPr fontId="2" type="noConversion"/>
  </si>
  <si>
    <r>
      <rPr>
        <sz val="12"/>
        <color theme="1"/>
        <rFont val="微軟正黑體"/>
        <family val="2"/>
        <charset val="136"/>
      </rPr>
      <t>蠔用</t>
    </r>
    <r>
      <rPr>
        <sz val="12"/>
        <color theme="1"/>
        <rFont val="Calibri"/>
        <family val="2"/>
      </rPr>
      <t>2</t>
    </r>
    <r>
      <rPr>
        <sz val="12"/>
        <color theme="1"/>
        <rFont val="細明體"/>
        <family val="2"/>
        <charset val="136"/>
      </rPr>
      <t>湯匙</t>
    </r>
    <r>
      <rPr>
        <sz val="12"/>
        <color theme="1"/>
        <rFont val="微軟正黑體"/>
        <family val="2"/>
        <charset val="136"/>
      </rPr>
      <t>生粉「拿拿」，用水</t>
    </r>
    <r>
      <rPr>
        <sz val="12"/>
        <color theme="1"/>
        <rFont val="Calibri"/>
        <family val="2"/>
      </rPr>
      <t>(</t>
    </r>
    <r>
      <rPr>
        <sz val="12"/>
        <color theme="1"/>
        <rFont val="細明體"/>
        <family val="2"/>
        <charset val="136"/>
      </rPr>
      <t>輕力</t>
    </r>
    <r>
      <rPr>
        <sz val="12"/>
        <color theme="1"/>
        <rFont val="Calibri"/>
        <family val="2"/>
      </rPr>
      <t>)</t>
    </r>
    <r>
      <rPr>
        <sz val="12"/>
        <color theme="1"/>
        <rFont val="微軟正黑體"/>
        <family val="2"/>
        <charset val="136"/>
      </rPr>
      <t>沖至不再混濁。吸乾水</t>
    </r>
    <r>
      <rPr>
        <sz val="12"/>
        <color theme="1"/>
        <rFont val="Calibri"/>
        <family val="2"/>
      </rPr>
      <t xml:space="preserve">. </t>
    </r>
    <r>
      <rPr>
        <sz val="12"/>
        <color theme="1"/>
        <rFont val="微軟正黑體"/>
        <family val="2"/>
        <charset val="136"/>
      </rPr>
      <t>用手輕抹去表面潺</t>
    </r>
    <phoneticPr fontId="2" type="noConversion"/>
  </si>
  <si>
    <r>
      <rPr>
        <sz val="12"/>
        <color theme="1"/>
        <rFont val="微軟正黑體"/>
        <family val="2"/>
        <charset val="136"/>
      </rPr>
      <t>滾水後放些少薑片，加入蠔汆</t>
    </r>
    <r>
      <rPr>
        <sz val="12"/>
        <color theme="1"/>
        <rFont val="Calibri"/>
        <family val="2"/>
      </rPr>
      <t xml:space="preserve"> 1 </t>
    </r>
    <r>
      <rPr>
        <sz val="12"/>
        <color theme="1"/>
        <rFont val="微軟正黑體"/>
        <family val="2"/>
        <charset val="136"/>
      </rPr>
      <t>分鐘，撈起後印乾，沾上</t>
    </r>
    <r>
      <rPr>
        <sz val="12"/>
        <color theme="1"/>
        <rFont val="Calibri"/>
        <family val="2"/>
      </rPr>
      <t>3</t>
    </r>
    <r>
      <rPr>
        <sz val="12"/>
        <color theme="1"/>
        <rFont val="細明體"/>
        <family val="2"/>
        <charset val="136"/>
      </rPr>
      <t>湯匙</t>
    </r>
    <r>
      <rPr>
        <sz val="12"/>
        <color theme="1"/>
        <rFont val="微軟正黑體"/>
        <family val="2"/>
        <charset val="136"/>
      </rPr>
      <t>生粉及鹽。</t>
    </r>
    <phoneticPr fontId="2" type="noConversion"/>
  </si>
  <si>
    <t>貓耳朵</t>
  </si>
  <si>
    <t>貓耳朵</t>
    <phoneticPr fontId="2" type="noConversion"/>
  </si>
  <si>
    <t>陳醋</t>
  </si>
  <si>
    <t>陳醋</t>
    <phoneticPr fontId="2" type="noConversion"/>
  </si>
  <si>
    <r>
      <rPr>
        <sz val="12"/>
        <color theme="1"/>
        <rFont val="微軟正黑體"/>
        <family val="2"/>
        <charset val="136"/>
      </rPr>
      <t>落蒜頭炒香，落紹酒，連同剛才出味的葱薑，有香味後落蠔快炒，將醬料分時段落待收汁，同時加入葱青炒。</t>
    </r>
    <r>
      <rPr>
        <sz val="12"/>
        <color theme="1"/>
        <rFont val="細明體"/>
        <family val="2"/>
        <charset val="136"/>
      </rPr>
      <t>起鑊前落兩滴麻油</t>
    </r>
    <phoneticPr fontId="2" type="noConversion"/>
  </si>
  <si>
    <r>
      <rPr>
        <sz val="12"/>
        <color theme="1"/>
        <rFont val="微軟正黑體"/>
        <family val="2"/>
        <charset val="136"/>
      </rPr>
      <t>用中火燒熱油鍋，加入薑片同葱白出味，之後撈起薑及葱白，落蠔煎至微金黃後撈起。大火煎</t>
    </r>
    <r>
      <rPr>
        <sz val="12"/>
        <color theme="1"/>
        <rFont val="Calibri"/>
        <family val="2"/>
      </rPr>
      <t>30</t>
    </r>
    <r>
      <rPr>
        <sz val="12"/>
        <color theme="1"/>
        <rFont val="細明體"/>
        <family val="2"/>
        <charset val="136"/>
      </rPr>
      <t>秒反面</t>
    </r>
    <phoneticPr fontId="2" type="noConversion"/>
  </si>
  <si>
    <t>滴</t>
    <phoneticPr fontId="2" type="noConversion"/>
  </si>
  <si>
    <t>兩</t>
  </si>
  <si>
    <r>
      <rPr>
        <sz val="12"/>
        <color theme="1"/>
        <rFont val="微軟正黑體"/>
        <family val="2"/>
        <charset val="136"/>
      </rPr>
      <t>雲耳浸</t>
    </r>
    <r>
      <rPr>
        <sz val="12"/>
        <color theme="1"/>
        <rFont val="Calibri"/>
        <family val="2"/>
      </rPr>
      <t xml:space="preserve"> 30 </t>
    </r>
    <r>
      <rPr>
        <sz val="12"/>
        <color theme="1"/>
        <rFont val="微軟正黑體"/>
        <family val="2"/>
        <charset val="136"/>
      </rPr>
      <t>分鐘，瀝水</t>
    </r>
    <r>
      <rPr>
        <sz val="12"/>
        <color theme="1"/>
        <rFont val="Calibri"/>
        <family val="2"/>
      </rPr>
      <t>,</t>
    </r>
    <r>
      <rPr>
        <sz val="12"/>
        <color theme="1"/>
        <rFont val="微軟正黑體"/>
        <family val="2"/>
        <charset val="136"/>
      </rPr>
      <t>去沙。</t>
    </r>
    <phoneticPr fontId="2" type="noConversion"/>
  </si>
  <si>
    <r>
      <rPr>
        <sz val="12"/>
        <color theme="1"/>
        <rFont val="微軟正黑體"/>
        <family val="2"/>
        <charset val="136"/>
      </rPr>
      <t>重複洗</t>
    </r>
    <r>
      <rPr>
        <sz val="12"/>
        <color theme="1"/>
        <rFont val="Calibri"/>
        <family val="2"/>
      </rPr>
      <t xml:space="preserve"> 3 </t>
    </r>
    <r>
      <rPr>
        <sz val="12"/>
        <color theme="1"/>
        <rFont val="微軟正黑體"/>
        <family val="2"/>
        <charset val="136"/>
      </rPr>
      <t>次。</t>
    </r>
    <phoneticPr fontId="2" type="noConversion"/>
  </si>
  <si>
    <r>
      <rPr>
        <sz val="12"/>
        <color theme="1"/>
        <rFont val="微軟正黑體"/>
        <family val="2"/>
        <charset val="136"/>
      </rPr>
      <t>凍水落雲耳</t>
    </r>
    <r>
      <rPr>
        <sz val="12"/>
        <color theme="1"/>
        <rFont val="Calibri"/>
        <family val="2"/>
      </rPr>
      <t xml:space="preserve">, </t>
    </r>
    <r>
      <rPr>
        <sz val="12"/>
        <color theme="1"/>
        <rFont val="細明體"/>
        <family val="2"/>
        <charset val="136"/>
      </rPr>
      <t>水滾後煮</t>
    </r>
    <r>
      <rPr>
        <sz val="12"/>
        <color theme="1"/>
        <rFont val="Calibri"/>
        <family val="2"/>
      </rPr>
      <t xml:space="preserve"> 2 </t>
    </r>
    <r>
      <rPr>
        <sz val="12"/>
        <color theme="1"/>
        <rFont val="微軟正黑體"/>
        <family val="2"/>
        <charset val="136"/>
      </rPr>
      <t>分鐘，用凍滾水沖涼。</t>
    </r>
    <phoneticPr fontId="2" type="noConversion"/>
  </si>
  <si>
    <r>
      <rPr>
        <sz val="12"/>
        <color theme="1"/>
        <rFont val="微軟正黑體"/>
        <family val="2"/>
        <charset val="136"/>
      </rPr>
      <t>瀝水，拌調味。</t>
    </r>
    <r>
      <rPr>
        <sz val="12"/>
        <color theme="1"/>
        <rFont val="細明體"/>
        <family val="2"/>
        <charset val="136"/>
      </rPr>
      <t>放雪櫃</t>
    </r>
    <phoneticPr fontId="2" type="noConversion"/>
  </si>
  <si>
    <t>純素</t>
    <phoneticPr fontId="2" type="noConversion"/>
  </si>
  <si>
    <t>蛋奶素</t>
    <phoneticPr fontId="2" type="noConversion"/>
  </si>
  <si>
    <t>主菜</t>
  </si>
  <si>
    <t>湯水</t>
    <phoneticPr fontId="2" type="noConversion"/>
  </si>
  <si>
    <t>豬肉</t>
  </si>
  <si>
    <t>甜品</t>
  </si>
  <si>
    <t>副菜</t>
  </si>
  <si>
    <t>D0095</t>
  </si>
  <si>
    <t>D0096</t>
  </si>
  <si>
    <t>D0097</t>
  </si>
  <si>
    <t>D0098</t>
  </si>
  <si>
    <t>煎魚</t>
    <phoneticPr fontId="2" type="noConversion"/>
  </si>
  <si>
    <t>海鮮</t>
  </si>
  <si>
    <t>烚粟米</t>
    <phoneticPr fontId="2" type="noConversion"/>
  </si>
  <si>
    <t>蔬菜</t>
  </si>
  <si>
    <t>烚蛋</t>
    <phoneticPr fontId="2" type="noConversion"/>
  </si>
  <si>
    <t>蛋</t>
  </si>
  <si>
    <t>豬肉碎粥</t>
    <phoneticPr fontId="2" type="noConversion"/>
  </si>
  <si>
    <t>中式</t>
    <phoneticPr fontId="2" type="noConversion"/>
  </si>
  <si>
    <t>日式飯團</t>
    <phoneticPr fontId="2" type="noConversion"/>
  </si>
  <si>
    <t>麥皮</t>
    <phoneticPr fontId="2" type="noConversion"/>
  </si>
  <si>
    <t>D0100</t>
  </si>
  <si>
    <t>烚番薯</t>
    <phoneticPr fontId="2" type="noConversion"/>
  </si>
  <si>
    <t>D0101</t>
  </si>
  <si>
    <t>煎蛋</t>
    <phoneticPr fontId="2" type="noConversion"/>
  </si>
  <si>
    <t>無糖豆漿</t>
    <phoneticPr fontId="2" type="noConversion"/>
  </si>
  <si>
    <t>饅頭</t>
    <phoneticPr fontId="2" type="noConversion"/>
  </si>
  <si>
    <t>豆</t>
  </si>
  <si>
    <t>主食</t>
  </si>
  <si>
    <t>主食</t>
    <phoneticPr fontId="2" type="noConversion"/>
  </si>
  <si>
    <t>D0102</t>
  </si>
  <si>
    <t>D0103</t>
  </si>
  <si>
    <t>D0104</t>
  </si>
  <si>
    <t>D0105</t>
  </si>
  <si>
    <t>D0106</t>
  </si>
  <si>
    <t>D0107</t>
  </si>
  <si>
    <t>烚菜</t>
    <phoneticPr fontId="2" type="noConversion"/>
  </si>
  <si>
    <t>炒菜</t>
    <phoneticPr fontId="2" type="noConversion"/>
  </si>
  <si>
    <r>
      <rPr>
        <sz val="12"/>
        <color theme="1"/>
        <rFont val="微軟正黑體"/>
        <family val="2"/>
        <charset val="136"/>
      </rPr>
      <t>粢</t>
    </r>
    <r>
      <rPr>
        <sz val="12"/>
        <color theme="1"/>
        <rFont val="細明體"/>
        <family val="2"/>
        <charset val="136"/>
      </rPr>
      <t>飯</t>
    </r>
    <phoneticPr fontId="2" type="noConversion"/>
  </si>
  <si>
    <t>D0108</t>
  </si>
  <si>
    <t>飲品</t>
  </si>
  <si>
    <t>飲品</t>
    <phoneticPr fontId="2" type="noConversion"/>
  </si>
  <si>
    <t>炒麵</t>
    <phoneticPr fontId="2" type="noConversion"/>
  </si>
  <si>
    <t>D0109</t>
  </si>
  <si>
    <t>雞肉</t>
  </si>
  <si>
    <t>果仁</t>
    <phoneticPr fontId="2" type="noConversion"/>
  </si>
  <si>
    <t>D0110</t>
  </si>
  <si>
    <t>All day breakfast</t>
    <phoneticPr fontId="2" type="noConversion"/>
  </si>
  <si>
    <t>D0111</t>
  </si>
  <si>
    <t>薯蓉</t>
    <phoneticPr fontId="2" type="noConversion"/>
  </si>
  <si>
    <t>D0112</t>
  </si>
  <si>
    <t>南瓜濃湯</t>
    <phoneticPr fontId="2" type="noConversion"/>
  </si>
  <si>
    <t>D0113</t>
  </si>
  <si>
    <t>湯水</t>
  </si>
  <si>
    <t>蒸魚</t>
    <phoneticPr fontId="2" type="noConversion"/>
  </si>
  <si>
    <t>乾煎大蝦</t>
    <phoneticPr fontId="2" type="noConversion"/>
  </si>
  <si>
    <t>油鹽水絲瓜花甲</t>
    <phoneticPr fontId="2" type="noConversion"/>
  </si>
  <si>
    <t>香茅蝦棒</t>
    <phoneticPr fontId="2" type="noConversion"/>
  </si>
  <si>
    <t>金銀蒜蒸開邊蝦</t>
    <phoneticPr fontId="2" type="noConversion"/>
  </si>
  <si>
    <t>D0095</t>
    <phoneticPr fontId="2" type="noConversion"/>
  </si>
  <si>
    <t>D0114</t>
  </si>
  <si>
    <t>D0115</t>
  </si>
  <si>
    <t>D0116</t>
  </si>
  <si>
    <t>D0117</t>
  </si>
  <si>
    <t>D0118</t>
  </si>
  <si>
    <t>D0119</t>
  </si>
  <si>
    <t>Expire(day)</t>
    <phoneticPr fontId="2" type="noConversion"/>
  </si>
  <si>
    <t>D0120</t>
  </si>
  <si>
    <t>陳皮蒸鮑魚</t>
    <phoneticPr fontId="2" type="noConversion"/>
  </si>
  <si>
    <t>D0121</t>
  </si>
  <si>
    <t>D0122</t>
  </si>
  <si>
    <t>煎餃子</t>
    <phoneticPr fontId="2" type="noConversion"/>
  </si>
  <si>
    <t>D0123</t>
  </si>
  <si>
    <t>苦瓜炒蛋</t>
    <phoneticPr fontId="2" type="noConversion"/>
  </si>
  <si>
    <t>蕃茄炒蛋</t>
    <phoneticPr fontId="2" type="noConversion"/>
  </si>
  <si>
    <t>D0124</t>
  </si>
  <si>
    <t>D0125</t>
  </si>
  <si>
    <t>獨立成餐</t>
  </si>
  <si>
    <t>獨立成餐</t>
    <phoneticPr fontId="2" type="noConversion"/>
  </si>
  <si>
    <t>小食</t>
  </si>
  <si>
    <t>小食</t>
    <phoneticPr fontId="2" type="noConversion"/>
  </si>
  <si>
    <t>煎釀青椒</t>
    <phoneticPr fontId="2" type="noConversion"/>
  </si>
  <si>
    <t>D0126</t>
  </si>
  <si>
    <t>味道</t>
    <phoneticPr fontId="2" type="noConversion"/>
  </si>
  <si>
    <t>Taste</t>
    <phoneticPr fontId="2" type="noConversion"/>
  </si>
  <si>
    <t>濃味</t>
  </si>
  <si>
    <t>濃味</t>
    <phoneticPr fontId="2" type="noConversion"/>
  </si>
  <si>
    <t>一般</t>
  </si>
  <si>
    <t>一般</t>
    <phoneticPr fontId="2" type="noConversion"/>
  </si>
  <si>
    <t>淡味</t>
  </si>
  <si>
    <t>淡味</t>
    <phoneticPr fontId="2" type="noConversion"/>
  </si>
  <si>
    <t>不適用</t>
  </si>
  <si>
    <t>不適用</t>
    <phoneticPr fontId="2" type="noConversion"/>
  </si>
  <si>
    <t>茶碗蒸</t>
    <phoneticPr fontId="2" type="noConversion"/>
  </si>
  <si>
    <t>玉子燒</t>
    <phoneticPr fontId="2" type="noConversion"/>
  </si>
  <si>
    <t>D0127</t>
  </si>
  <si>
    <t>D0128</t>
  </si>
  <si>
    <t>蜜糖雞翼</t>
    <phoneticPr fontId="2" type="noConversion"/>
  </si>
  <si>
    <t>D0129</t>
  </si>
  <si>
    <t>固體主食</t>
  </si>
  <si>
    <t>流質主食</t>
  </si>
  <si>
    <t>早餐類型</t>
    <phoneticPr fontId="2" type="noConversion"/>
  </si>
  <si>
    <t>蛋白質</t>
  </si>
  <si>
    <t>炒蛋</t>
    <phoneticPr fontId="2" type="noConversion"/>
  </si>
  <si>
    <t>D0130</t>
  </si>
  <si>
    <t>D0131</t>
  </si>
  <si>
    <t>奶</t>
  </si>
  <si>
    <t>煎豬排</t>
    <phoneticPr fontId="2" type="noConversion"/>
  </si>
  <si>
    <t>煎雞排</t>
    <phoneticPr fontId="2" type="noConversion"/>
  </si>
  <si>
    <t>D0132</t>
  </si>
  <si>
    <t>D0133</t>
  </si>
  <si>
    <t>香蕉</t>
    <phoneticPr fontId="2" type="noConversion"/>
  </si>
  <si>
    <t>小番茄</t>
    <phoneticPr fontId="2" type="noConversion"/>
  </si>
  <si>
    <t>火龍果</t>
    <phoneticPr fontId="2" type="noConversion"/>
  </si>
  <si>
    <t>奇異果</t>
    <phoneticPr fontId="2" type="noConversion"/>
  </si>
  <si>
    <t>藍苺</t>
    <phoneticPr fontId="2" type="noConversion"/>
  </si>
  <si>
    <t>D0134</t>
  </si>
  <si>
    <t>D0135</t>
  </si>
  <si>
    <t>D0136</t>
  </si>
  <si>
    <t>D0137</t>
  </si>
  <si>
    <t>D0138</t>
  </si>
  <si>
    <t>水煎蔬菜</t>
    <phoneticPr fontId="2" type="noConversion"/>
  </si>
  <si>
    <t>D0139</t>
  </si>
  <si>
    <t>蘋果烤蛋奶</t>
    <phoneticPr fontId="2" type="noConversion"/>
  </si>
  <si>
    <t>D0140</t>
  </si>
  <si>
    <t>水果吐司捲</t>
    <phoneticPr fontId="2" type="noConversion"/>
  </si>
  <si>
    <t>D0141</t>
  </si>
  <si>
    <t>烚蝦仁</t>
    <phoneticPr fontId="2" type="noConversion"/>
  </si>
  <si>
    <t>D0142</t>
  </si>
  <si>
    <t>Waffle</t>
    <phoneticPr fontId="2" type="noConversion"/>
  </si>
  <si>
    <t>D0143</t>
  </si>
  <si>
    <t>烚雞胸條</t>
    <phoneticPr fontId="2" type="noConversion"/>
  </si>
  <si>
    <t>窩蛋牛肉煲仔飯</t>
    <phoneticPr fontId="2" type="noConversion"/>
  </si>
  <si>
    <t>牛肉</t>
  </si>
  <si>
    <t>D0144</t>
  </si>
  <si>
    <t>D0145</t>
  </si>
  <si>
    <t>油煎豆腐</t>
    <phoneticPr fontId="2" type="noConversion"/>
  </si>
  <si>
    <t>紙包金針菇</t>
    <phoneticPr fontId="2" type="noConversion"/>
  </si>
  <si>
    <t>D0146</t>
  </si>
  <si>
    <t>D0147</t>
  </si>
  <si>
    <t>蕃薯薑糖水</t>
    <phoneticPr fontId="2" type="noConversion"/>
  </si>
  <si>
    <t>楊枝甘露</t>
    <phoneticPr fontId="2" type="noConversion"/>
  </si>
  <si>
    <t>三絲炒米粉</t>
    <phoneticPr fontId="2" type="noConversion"/>
  </si>
  <si>
    <t>養生猴頭菇湯</t>
    <phoneticPr fontId="2" type="noConversion"/>
  </si>
  <si>
    <t>辣白菜豆腐湯</t>
    <phoneticPr fontId="2" type="noConversion"/>
  </si>
  <si>
    <t>合掌瓜茶樹菇淮山腰果湯</t>
    <phoneticPr fontId="2" type="noConversion"/>
  </si>
  <si>
    <t>素酸辣湯</t>
    <phoneticPr fontId="2" type="noConversion"/>
  </si>
  <si>
    <t>琵琶豆腐</t>
    <phoneticPr fontId="2" type="noConversion"/>
  </si>
  <si>
    <t>D0148</t>
  </si>
  <si>
    <t>D0149</t>
  </si>
  <si>
    <t>D0150</t>
  </si>
  <si>
    <t>D0151</t>
  </si>
  <si>
    <t>D0152</t>
  </si>
  <si>
    <t>D0153</t>
  </si>
  <si>
    <t>D0154</t>
  </si>
  <si>
    <t>D0155</t>
  </si>
  <si>
    <t>梅菜素扣肉</t>
    <phoneticPr fontId="2" type="noConversion"/>
  </si>
  <si>
    <t>客家蒸釀苦瓜</t>
    <phoneticPr fontId="2" type="noConversion"/>
  </si>
  <si>
    <t>越式酸辣豆腐雜菜湯</t>
    <phoneticPr fontId="2" type="noConversion"/>
  </si>
  <si>
    <t>牙車快(越式沙律)</t>
    <phoneticPr fontId="2" type="noConversion"/>
  </si>
  <si>
    <t>D0156</t>
  </si>
  <si>
    <t>D0157</t>
  </si>
  <si>
    <t>D0158</t>
  </si>
  <si>
    <t>D0159</t>
  </si>
  <si>
    <t>馬鈴薯味噌湯</t>
    <phoneticPr fontId="2" type="noConversion"/>
  </si>
  <si>
    <t>D0160</t>
  </si>
  <si>
    <t>味噌湯</t>
    <phoneticPr fontId="2" type="noConversion"/>
  </si>
  <si>
    <t>豬肉味噌湯</t>
    <phoneticPr fontId="2" type="noConversion"/>
  </si>
  <si>
    <t>醃漬白泡菜</t>
    <phoneticPr fontId="2" type="noConversion"/>
  </si>
  <si>
    <t>燉甜南瓜</t>
    <phoneticPr fontId="2" type="noConversion"/>
  </si>
  <si>
    <t>D0161</t>
  </si>
  <si>
    <t>D0162</t>
  </si>
  <si>
    <t>D0163</t>
  </si>
  <si>
    <t>乾拌菠菜</t>
    <phoneticPr fontId="2" type="noConversion"/>
  </si>
  <si>
    <t>D0164</t>
  </si>
  <si>
    <t>咖哩烏冬</t>
    <phoneticPr fontId="2" type="noConversion"/>
  </si>
  <si>
    <t>薯仔燉肉</t>
    <phoneticPr fontId="2" type="noConversion"/>
  </si>
  <si>
    <t>D0165</t>
  </si>
  <si>
    <t>D0166</t>
  </si>
  <si>
    <t>大阪燒</t>
    <phoneticPr fontId="2" type="noConversion"/>
  </si>
  <si>
    <t>D0167</t>
  </si>
  <si>
    <t>香煎雞肉丸</t>
    <phoneticPr fontId="2" type="noConversion"/>
  </si>
  <si>
    <t>D0168</t>
  </si>
  <si>
    <t>黑蜜豆奶布丁</t>
    <phoneticPr fontId="2" type="noConversion"/>
  </si>
  <si>
    <t>茄汁手工薯仔球</t>
    <phoneticPr fontId="2" type="noConversion"/>
  </si>
  <si>
    <t>D0169</t>
  </si>
  <si>
    <t>D0170</t>
  </si>
  <si>
    <t>素咖喱飯</t>
    <phoneticPr fontId="2" type="noConversion"/>
  </si>
  <si>
    <t>D0171</t>
  </si>
  <si>
    <t>西式</t>
  </si>
  <si>
    <t>莓果香蕉杏仁奶昔</t>
    <phoneticPr fontId="2" type="noConversion"/>
  </si>
  <si>
    <t>D0172</t>
  </si>
  <si>
    <t>花生醬椰漿天貝蓋飯</t>
    <phoneticPr fontId="2" type="noConversion"/>
  </si>
  <si>
    <t>D0173</t>
  </si>
  <si>
    <t>老少平安</t>
    <phoneticPr fontId="2" type="noConversion"/>
  </si>
  <si>
    <t>中式</t>
  </si>
  <si>
    <t>純素醬燒豆腐煲</t>
    <phoneticPr fontId="2" type="noConversion"/>
  </si>
  <si>
    <t>開心果芝士蛋糕</t>
    <phoneticPr fontId="2" type="noConversion"/>
  </si>
  <si>
    <t>日式</t>
  </si>
  <si>
    <t>鹽趜味噌燉菜</t>
    <phoneticPr fontId="2" type="noConversion"/>
  </si>
  <si>
    <t>D0174</t>
  </si>
  <si>
    <t>D0175</t>
  </si>
  <si>
    <t>D0176</t>
  </si>
  <si>
    <t>D0177</t>
  </si>
  <si>
    <t>手撕杏鮑菇</t>
    <phoneticPr fontId="2" type="noConversion"/>
  </si>
  <si>
    <t>D0178</t>
  </si>
  <si>
    <t>客家風味炸豆腐</t>
    <phoneticPr fontId="2" type="noConversion"/>
  </si>
  <si>
    <t>D0179</t>
  </si>
  <si>
    <t>素螞蟻上樹</t>
    <phoneticPr fontId="2" type="noConversion"/>
  </si>
  <si>
    <t>D0180</t>
  </si>
  <si>
    <t>三杯豆腐</t>
    <phoneticPr fontId="2" type="noConversion"/>
  </si>
  <si>
    <t>D0181</t>
  </si>
  <si>
    <t>hsuan_tv</t>
    <phoneticPr fontId="2" type="noConversion"/>
  </si>
  <si>
    <t>D0182</t>
  </si>
  <si>
    <t>D0183</t>
  </si>
  <si>
    <t>天貝全麥三文治</t>
    <phoneticPr fontId="2" type="noConversion"/>
  </si>
  <si>
    <t>鷹嘴豆泥配全麥多士</t>
    <phoneticPr fontId="2" type="noConversion"/>
  </si>
  <si>
    <t>綠拿鐡高蛋白飲</t>
    <phoneticPr fontId="2" type="noConversion"/>
  </si>
  <si>
    <t>D0184</t>
  </si>
  <si>
    <t>花生醬蛋白棒</t>
    <phoneticPr fontId="2" type="noConversion"/>
  </si>
  <si>
    <t>D0185</t>
  </si>
  <si>
    <t>https://www.barrelleaf.com/high-protein-vegan-breakfasts</t>
  </si>
  <si>
    <t>堅果燕麥能量棒</t>
    <phoneticPr fontId="2" type="noConversion"/>
  </si>
  <si>
    <t>D0186</t>
  </si>
  <si>
    <t>醬燒豆腐</t>
    <phoneticPr fontId="2" type="noConversion"/>
  </si>
  <si>
    <t>D0187</t>
  </si>
  <si>
    <t>D0188</t>
  </si>
  <si>
    <t>中華雞蛋豆腐</t>
  </si>
  <si>
    <t>中華雞蛋豆腐</t>
    <phoneticPr fontId="2" type="noConversion"/>
  </si>
  <si>
    <t>盒</t>
    <phoneticPr fontId="2" type="noConversion"/>
  </si>
  <si>
    <r>
      <rPr>
        <sz val="12"/>
        <color theme="1"/>
        <rFont val="細明體"/>
        <family val="2"/>
        <charset val="136"/>
      </rPr>
      <t>豆腐切成</t>
    </r>
    <r>
      <rPr>
        <sz val="12"/>
        <color theme="1"/>
        <rFont val="Calibri"/>
        <family val="2"/>
      </rPr>
      <t>8</t>
    </r>
    <r>
      <rPr>
        <sz val="12"/>
        <color theme="1"/>
        <rFont val="細明體"/>
        <family val="2"/>
        <charset val="136"/>
      </rPr>
      <t>片備用</t>
    </r>
    <phoneticPr fontId="2" type="noConversion"/>
  </si>
  <si>
    <t>以少許油熱鍋後,加入雞蛋豆腐以中火煎至兩面金黃</t>
    <phoneticPr fontId="2" type="noConversion"/>
  </si>
  <si>
    <t>取一小段餐巾紙, 用筷子夾住, 將鍋中多餘的油吸乾, 接著加入調味料. 待豆腐吸附醬汁, 即成</t>
    <phoneticPr fontId="2" type="noConversion"/>
  </si>
  <si>
    <t>Credit to</t>
    <phoneticPr fontId="2" type="noConversion"/>
  </si>
  <si>
    <t>林姓主婦的晚餐餐桌提案</t>
    <phoneticPr fontId="2" type="noConversion"/>
  </si>
  <si>
    <t>正常</t>
  </si>
  <si>
    <t>純素</t>
  </si>
  <si>
    <t>蛋奶素</t>
  </si>
  <si>
    <t>ID</t>
    <phoneticPr fontId="2" type="noConversion"/>
  </si>
  <si>
    <t>Cuisine</t>
    <phoneticPr fontId="2" type="noConversion"/>
  </si>
  <si>
    <t>蒜炒小芥菜</t>
    <phoneticPr fontId="2" type="noConversion"/>
  </si>
  <si>
    <t>蒜香蒸豬五花高麗菜</t>
    <phoneticPr fontId="2" type="noConversion"/>
  </si>
  <si>
    <t>冬瓜肉燥</t>
    <phoneticPr fontId="2" type="noConversion"/>
  </si>
  <si>
    <t>豆腐肉捲</t>
    <phoneticPr fontId="2" type="noConversion"/>
  </si>
  <si>
    <t>味噌松阪豬</t>
    <phoneticPr fontId="2" type="noConversion"/>
  </si>
  <si>
    <t>洋蔥炒豬肉</t>
    <phoneticPr fontId="2" type="noConversion"/>
  </si>
  <si>
    <t>洋蔥燴腩排</t>
    <phoneticPr fontId="2" type="noConversion"/>
  </si>
  <si>
    <t>甜椒櫛瓜味噌豬五花</t>
    <phoneticPr fontId="2" type="noConversion"/>
  </si>
  <si>
    <t>甜椒鑲肉</t>
    <phoneticPr fontId="2" type="noConversion"/>
  </si>
  <si>
    <t>野菜炒豬肉</t>
    <phoneticPr fontId="2" type="noConversion"/>
  </si>
  <si>
    <t>蕃茄薯仔燉肋排</t>
    <phoneticPr fontId="2" type="noConversion"/>
  </si>
  <si>
    <t>嫩煎豬排</t>
    <phoneticPr fontId="2" type="noConversion"/>
  </si>
  <si>
    <t>蒜苗蘿蔔燉肉</t>
    <phoneticPr fontId="2" type="noConversion"/>
  </si>
  <si>
    <t>蒜香醬油薄骨嫩肩排</t>
    <phoneticPr fontId="2" type="noConversion"/>
  </si>
  <si>
    <t>蜜汁排骨(腩排)</t>
    <phoneticPr fontId="2" type="noConversion"/>
  </si>
  <si>
    <t>菜系</t>
    <phoneticPr fontId="2" type="noConversion"/>
  </si>
  <si>
    <t>阿育吠陀</t>
    <phoneticPr fontId="2" type="noConversion"/>
  </si>
  <si>
    <t>韓式</t>
  </si>
  <si>
    <t>D0189</t>
  </si>
  <si>
    <t>D0190</t>
  </si>
  <si>
    <t>D0191</t>
  </si>
  <si>
    <t>D0192</t>
  </si>
  <si>
    <t>D0193</t>
  </si>
  <si>
    <t>D0194</t>
  </si>
  <si>
    <t>D0195</t>
  </si>
  <si>
    <t>D0196</t>
  </si>
  <si>
    <t>D0197</t>
  </si>
  <si>
    <t>D0198</t>
  </si>
  <si>
    <t>D0199</t>
  </si>
  <si>
    <t>D0200</t>
  </si>
  <si>
    <t>D0201</t>
  </si>
  <si>
    <t>D0202</t>
  </si>
  <si>
    <t>D0203</t>
  </si>
  <si>
    <t>日式蘿蔔燉雞翼</t>
    <phoneticPr fontId="2" type="noConversion"/>
  </si>
  <si>
    <t>蕃薯梅子燒雞</t>
    <phoneticPr fontId="2" type="noConversion"/>
  </si>
  <si>
    <t>茄汁毛豆玉米雞絞肉</t>
    <phoneticPr fontId="2" type="noConversion"/>
  </si>
  <si>
    <t>香菇綠竹筍燒雞</t>
    <phoneticPr fontId="2" type="noConversion"/>
  </si>
  <si>
    <t>香煎雞腿排佐櫛瓜</t>
    <phoneticPr fontId="2" type="noConversion"/>
  </si>
  <si>
    <t>海帶滷雞翼</t>
    <phoneticPr fontId="2" type="noConversion"/>
  </si>
  <si>
    <t>蔥油淋雞</t>
    <phoneticPr fontId="2" type="noConversion"/>
  </si>
  <si>
    <t>蘆筍甜椒鳯梨炒嫩雞</t>
    <phoneticPr fontId="2" type="noConversion"/>
  </si>
  <si>
    <t>鹽麴雞唐揚</t>
    <phoneticPr fontId="2" type="noConversion"/>
  </si>
  <si>
    <t>D0204</t>
  </si>
  <si>
    <t>D0205</t>
  </si>
  <si>
    <t>D0206</t>
  </si>
  <si>
    <t>D0207</t>
  </si>
  <si>
    <t>D0208</t>
  </si>
  <si>
    <t>D0209</t>
  </si>
  <si>
    <t>D0210</t>
  </si>
  <si>
    <t>D0211</t>
  </si>
  <si>
    <t>D0212</t>
  </si>
  <si>
    <t>香酥鱈魚</t>
    <phoneticPr fontId="2" type="noConversion"/>
  </si>
  <si>
    <t>香煎赤鯮</t>
    <phoneticPr fontId="2" type="noConversion"/>
  </si>
  <si>
    <t>香煎三文魚</t>
    <phoneticPr fontId="2" type="noConversion"/>
  </si>
  <si>
    <t>香煎鱸魚排</t>
    <phoneticPr fontId="2" type="noConversion"/>
  </si>
  <si>
    <t>烤一夜干</t>
    <phoneticPr fontId="2" type="noConversion"/>
  </si>
  <si>
    <t>烤挪威鹽漬鯖魚</t>
    <phoneticPr fontId="2" type="noConversion"/>
  </si>
  <si>
    <t>椒鹽檸檬烤三文魚</t>
    <phoneticPr fontId="2" type="noConversion"/>
  </si>
  <si>
    <t>蔥爆蝦</t>
    <phoneticPr fontId="2" type="noConversion"/>
  </si>
  <si>
    <t>蔭鳳梨清蒸白帶魚捲</t>
    <phoneticPr fontId="2" type="noConversion"/>
  </si>
  <si>
    <t>蝦仁炒蘆筍</t>
    <phoneticPr fontId="2" type="noConversion"/>
  </si>
  <si>
    <t>鹽烤檸檬魚下巴</t>
    <phoneticPr fontId="2" type="noConversion"/>
  </si>
  <si>
    <t>D0213</t>
  </si>
  <si>
    <t>D0214</t>
  </si>
  <si>
    <t>D0215</t>
  </si>
  <si>
    <t>D0216</t>
  </si>
  <si>
    <t>D0217</t>
  </si>
  <si>
    <t>D0218</t>
  </si>
  <si>
    <t>D0219</t>
  </si>
  <si>
    <t>D0220</t>
  </si>
  <si>
    <t>D0221</t>
  </si>
  <si>
    <t>D0222</t>
  </si>
  <si>
    <t>D0223</t>
  </si>
  <si>
    <t>山藥醬油燒</t>
    <phoneticPr fontId="2" type="noConversion"/>
  </si>
  <si>
    <t>四季豆佐芝麻醬</t>
    <phoneticPr fontId="2" type="noConversion"/>
  </si>
  <si>
    <t>紅燒冬瓜</t>
    <phoneticPr fontId="2" type="noConversion"/>
  </si>
  <si>
    <t>香煎薯仔</t>
    <phoneticPr fontId="2" type="noConversion"/>
  </si>
  <si>
    <t>脆炒大黃瓜</t>
    <phoneticPr fontId="2" type="noConversion"/>
  </si>
  <si>
    <t>高湯娃娃菜</t>
    <phoneticPr fontId="2" type="noConversion"/>
  </si>
  <si>
    <t>梅汁涼拌秋葵</t>
    <phoneticPr fontId="2" type="noConversion"/>
  </si>
  <si>
    <t>涼拌白菜心</t>
    <phoneticPr fontId="2" type="noConversion"/>
  </si>
  <si>
    <t>焦糖燒粟米</t>
    <phoneticPr fontId="2" type="noConversion"/>
  </si>
  <si>
    <t>塔香野菇炒粟米仔</t>
    <phoneticPr fontId="2" type="noConversion"/>
  </si>
  <si>
    <t>D0224</t>
  </si>
  <si>
    <t>D0225</t>
  </si>
  <si>
    <t>D0226</t>
  </si>
  <si>
    <t>D0227</t>
  </si>
  <si>
    <t>D0228</t>
  </si>
  <si>
    <t>D0229</t>
  </si>
  <si>
    <t>D0230</t>
  </si>
  <si>
    <t>D0231</t>
  </si>
  <si>
    <t>D0232</t>
  </si>
  <si>
    <t>D0233</t>
  </si>
  <si>
    <t>D0234</t>
  </si>
  <si>
    <t>蔬果</t>
  </si>
  <si>
    <t>蔬果</t>
    <phoneticPr fontId="2" type="noConversion"/>
  </si>
  <si>
    <t>皮蛋豆腐</t>
    <phoneticPr fontId="2" type="noConversion"/>
  </si>
  <si>
    <t>芝麻醬涼拌豆腐</t>
    <phoneticPr fontId="2" type="noConversion"/>
  </si>
  <si>
    <t>家常滷豆腐</t>
    <phoneticPr fontId="2" type="noConversion"/>
  </si>
  <si>
    <t>椒鹽豆腐丁</t>
    <phoneticPr fontId="2" type="noConversion"/>
  </si>
  <si>
    <t>蔥味噌焗烤芝士油豆腐</t>
    <phoneticPr fontId="2" type="noConversion"/>
  </si>
  <si>
    <t>蔥燒豆皮</t>
    <phoneticPr fontId="2" type="noConversion"/>
  </si>
  <si>
    <t>D0235</t>
  </si>
  <si>
    <t>D0236</t>
  </si>
  <si>
    <t>D0237</t>
  </si>
  <si>
    <t>D0238</t>
  </si>
  <si>
    <t>D0239</t>
  </si>
  <si>
    <t>粟米玉子燒</t>
    <phoneticPr fontId="2" type="noConversion"/>
  </si>
  <si>
    <t>紫菜玉子燒</t>
    <phoneticPr fontId="2" type="noConversion"/>
  </si>
  <si>
    <t>茭白筍炒蛋</t>
    <phoneticPr fontId="2" type="noConversion"/>
  </si>
  <si>
    <t>蝦仁炒蛋</t>
    <phoneticPr fontId="2" type="noConversion"/>
  </si>
  <si>
    <t>櫻花蝦菜脯蛋</t>
    <phoneticPr fontId="2" type="noConversion"/>
  </si>
  <si>
    <t>鹽昆布薯仔雞蛋沙律</t>
    <phoneticPr fontId="2" type="noConversion"/>
  </si>
  <si>
    <t>D0240</t>
  </si>
  <si>
    <t>D0241</t>
  </si>
  <si>
    <t>D0242</t>
  </si>
  <si>
    <t>D0243</t>
  </si>
  <si>
    <t>D0244</t>
  </si>
  <si>
    <t>D0245</t>
  </si>
  <si>
    <t>凍烏冬佐溫泉蛋</t>
    <phoneticPr fontId="2" type="noConversion"/>
  </si>
  <si>
    <t>洋蔥雞肉燥飯佐溫泉蛋</t>
    <phoneticPr fontId="2" type="noConversion"/>
  </si>
  <si>
    <t>焦糖粟米飯</t>
    <phoneticPr fontId="2" type="noConversion"/>
  </si>
  <si>
    <t>蝦仁炒飯</t>
    <phoneticPr fontId="2" type="noConversion"/>
  </si>
  <si>
    <t>韓式烤肉時蔬拌飯</t>
    <phoneticPr fontId="2" type="noConversion"/>
  </si>
  <si>
    <t>D0246</t>
  </si>
  <si>
    <t>D0247</t>
  </si>
  <si>
    <t>D0248</t>
  </si>
  <si>
    <t>D0249</t>
  </si>
  <si>
    <t>D0250</t>
  </si>
  <si>
    <t>D0251</t>
  </si>
  <si>
    <t>D0252</t>
  </si>
  <si>
    <t>台式雞肉飯</t>
    <phoneticPr fontId="2" type="noConversion"/>
  </si>
  <si>
    <t>油揚味噌湯</t>
    <phoneticPr fontId="2" type="noConversion"/>
  </si>
  <si>
    <t>台式蕃茄蛋花雞湯</t>
    <phoneticPr fontId="2" type="noConversion"/>
  </si>
  <si>
    <t>台式蜆絲瓜湯</t>
    <phoneticPr fontId="2" type="noConversion"/>
  </si>
  <si>
    <t>韓式海帶芽牛肉湯</t>
    <phoneticPr fontId="2" type="noConversion"/>
  </si>
  <si>
    <t>蘿蔔三文魚味噌湯</t>
    <phoneticPr fontId="2" type="noConversion"/>
  </si>
  <si>
    <t>D0253</t>
  </si>
  <si>
    <t>D0254</t>
  </si>
  <si>
    <t>D0255</t>
  </si>
  <si>
    <t>D0256</t>
  </si>
  <si>
    <t>D0257</t>
  </si>
  <si>
    <t>和風洋葱蛋花湯</t>
    <phoneticPr fontId="2" type="noConversion"/>
  </si>
  <si>
    <t>D0258</t>
  </si>
  <si>
    <t>椰菜</t>
  </si>
  <si>
    <t>個</t>
    <phoneticPr fontId="2" type="noConversion"/>
  </si>
  <si>
    <t>豬五花薄片</t>
  </si>
  <si>
    <t>豬五花薄片</t>
    <phoneticPr fontId="2" type="noConversion"/>
  </si>
  <si>
    <t>白醋</t>
  </si>
  <si>
    <t>白醋</t>
    <phoneticPr fontId="2" type="noConversion"/>
  </si>
  <si>
    <t>芝麻油</t>
  </si>
  <si>
    <t>芝麻油</t>
    <phoneticPr fontId="2" type="noConversion"/>
  </si>
  <si>
    <t>Cat ears Fugus</t>
    <phoneticPr fontId="2" type="noConversion"/>
  </si>
  <si>
    <t>Step_EN</t>
    <phoneticPr fontId="2" type="noConversion"/>
  </si>
  <si>
    <t>Step_FIL</t>
    <phoneticPr fontId="2" type="noConversion"/>
  </si>
  <si>
    <t>Step_ID</t>
    <phoneticPr fontId="2" type="noConversion"/>
  </si>
  <si>
    <t>菜名</t>
    <phoneticPr fontId="2" type="noConversion"/>
  </si>
  <si>
    <t>提香用</t>
    <phoneticPr fontId="2" type="noConversion"/>
  </si>
  <si>
    <t>可省略</t>
    <phoneticPr fontId="2" type="noConversion"/>
  </si>
  <si>
    <t>依序將高麗菜與豬五花薄片均勻鋪在鍋中, 淋紹興酒(可省略)</t>
    <phoneticPr fontId="2" type="noConversion"/>
  </si>
  <si>
    <t>藝上鍋蓋,以小火燜煮7-10分鐘, 至肉片熟透</t>
    <phoneticPr fontId="2" type="noConversion"/>
  </si>
  <si>
    <t>將前四項調味料與蒜末一起混合均勻,淋在肉片上.</t>
    <phoneticPr fontId="2" type="noConversion"/>
  </si>
  <si>
    <t>薄切梅花豬肉片</t>
  </si>
  <si>
    <t>薄切梅花豬肉片</t>
    <phoneticPr fontId="2" type="noConversion"/>
  </si>
  <si>
    <t>板豆腐</t>
  </si>
  <si>
    <t>板豆腐</t>
    <phoneticPr fontId="2" type="noConversion"/>
  </si>
  <si>
    <t>塊</t>
    <phoneticPr fontId="2" type="noConversion"/>
  </si>
  <si>
    <t>味醂</t>
  </si>
  <si>
    <t>將豆腐條包進肉片後捲起</t>
    <phoneticPr fontId="2" type="noConversion"/>
  </si>
  <si>
    <t>以少許油熱鍋後,將肉接縫處朝下用中小火煎, 若有剩的豆腐也可一起放入鍋中煎</t>
    <phoneticPr fontId="2" type="noConversion"/>
  </si>
  <si>
    <t>待肉每一面都煎熟後, 淋上調味料, 此時需不時翻動肉讓醬汁均勻吸附, 等醬汁變濃稠,肉捲上色入味後,即完成</t>
    <phoneticPr fontId="2" type="noConversion"/>
  </si>
  <si>
    <t>D0258</t>
    <phoneticPr fontId="2" type="noConversion"/>
  </si>
  <si>
    <t>洋葱</t>
  </si>
  <si>
    <t>Superior broth</t>
  </si>
  <si>
    <t>Napakahusay na sabaw</t>
  </si>
  <si>
    <t>Kaldu Superior</t>
  </si>
  <si>
    <t>Vegetable noodles</t>
  </si>
  <si>
    <t>Mga pansit na gulay</t>
  </si>
  <si>
    <t>Mie sayur</t>
  </si>
  <si>
    <t>Pork belly</t>
  </si>
  <si>
    <t>Tiyan ng baboy</t>
  </si>
  <si>
    <t>Perut babi</t>
  </si>
  <si>
    <t>Papaya</t>
  </si>
  <si>
    <t>papaya</t>
  </si>
  <si>
    <t>pepaya</t>
  </si>
  <si>
    <t>Water</t>
  </si>
  <si>
    <t>Tubig</t>
  </si>
  <si>
    <t>Air</t>
  </si>
  <si>
    <t>Milk</t>
  </si>
  <si>
    <t>gatas</t>
  </si>
  <si>
    <t>Susu</t>
  </si>
  <si>
    <t>Butter</t>
  </si>
  <si>
    <t>mantikilya</t>
  </si>
  <si>
    <t>mentega</t>
  </si>
  <si>
    <t>Cloth wrapped in tofu</t>
  </si>
  <si>
    <t>Telang binalot sa tofu</t>
  </si>
  <si>
    <t>Kain dibungkus tahu</t>
  </si>
  <si>
    <t>Cornstarch</t>
  </si>
  <si>
    <t>almirol ng mais</t>
  </si>
  <si>
    <t>tepung jagung</t>
  </si>
  <si>
    <t>White fungus</t>
  </si>
  <si>
    <t>Puting fungus</t>
  </si>
  <si>
    <t>Jamur putih</t>
  </si>
  <si>
    <t>White rice</t>
  </si>
  <si>
    <t>Puting bigas</t>
  </si>
  <si>
    <t>Nasi putih</t>
  </si>
  <si>
    <t>Dark soy sauce</t>
  </si>
  <si>
    <t>Madilim na toyo</t>
  </si>
  <si>
    <t>Kecap asin gelap</t>
  </si>
  <si>
    <t>Broccoli</t>
  </si>
  <si>
    <t>brokoli</t>
  </si>
  <si>
    <t>Exempt from preparing meat</t>
  </si>
  <si>
    <t>Exempted sa paghahanda ng karne</t>
  </si>
  <si>
    <t>Dibebaskan dari menyiapkan daging</t>
  </si>
  <si>
    <t>Cream</t>
  </si>
  <si>
    <t>Krim</t>
  </si>
  <si>
    <t>Salad dressing</t>
  </si>
  <si>
    <t>Saus salad</t>
  </si>
  <si>
    <t>Fermented black beans</t>
  </si>
  <si>
    <t>Fermented na itim na beans</t>
  </si>
  <si>
    <t>Kacang hitam fermentasi</t>
  </si>
  <si>
    <t>Tofu</t>
  </si>
  <si>
    <t>tahu</t>
  </si>
  <si>
    <t>Curry powder</t>
  </si>
  <si>
    <t>Pulbos ng curry</t>
  </si>
  <si>
    <t>Bubuk kari</t>
  </si>
  <si>
    <t>Cheese</t>
  </si>
  <si>
    <t>Keso</t>
  </si>
  <si>
    <t>Keju</t>
  </si>
  <si>
    <t>Wasabi</t>
  </si>
  <si>
    <t>Sichuan pepper oil</t>
  </si>
  <si>
    <t>Langis ng Sichuan Pepper</t>
  </si>
  <si>
    <t>Minyak lada Sichuan</t>
  </si>
  <si>
    <t>Carrots</t>
  </si>
  <si>
    <t>Wortel</t>
  </si>
  <si>
    <t>Pepper powder</t>
  </si>
  <si>
    <t>Pulbos ng paminta</t>
  </si>
  <si>
    <t>Bubuk lada</t>
  </si>
  <si>
    <t>Light cream</t>
  </si>
  <si>
    <t>Maliwanag na cream</t>
  </si>
  <si>
    <t>Krim ringan</t>
  </si>
  <si>
    <t>Sesame oil</t>
  </si>
  <si>
    <t>Langis ng linga</t>
  </si>
  <si>
    <t>Minyak wijen</t>
  </si>
  <si>
    <t>Cabbage</t>
  </si>
  <si>
    <t>repolyo</t>
  </si>
  <si>
    <t>kubis</t>
  </si>
  <si>
    <t>Purple sweet potato</t>
  </si>
  <si>
    <t>Lila na kamote</t>
  </si>
  <si>
    <t>Ubi jalar ungu</t>
  </si>
  <si>
    <t>Turmeric powder</t>
  </si>
  <si>
    <t>Pulbos ng luyang dilaw</t>
  </si>
  <si>
    <t>Bubuk kunyit</t>
  </si>
  <si>
    <t>Black pepper</t>
  </si>
  <si>
    <t>Itim na paminta</t>
  </si>
  <si>
    <t>Lada hitam</t>
  </si>
  <si>
    <t>Coconut water</t>
  </si>
  <si>
    <t>Tubig ng niyog</t>
  </si>
  <si>
    <t>Air kelapa</t>
  </si>
  <si>
    <t>Coconut milk</t>
  </si>
  <si>
    <t>Gatas ng niyog</t>
  </si>
  <si>
    <t>santan</t>
  </si>
  <si>
    <t>Scallions</t>
  </si>
  <si>
    <t>mga sibuyas</t>
  </si>
  <si>
    <t>daun bawang</t>
  </si>
  <si>
    <t>Light soy sauce</t>
  </si>
  <si>
    <t>Magaan na toyo</t>
  </si>
  <si>
    <t>Kecap asin ringan</t>
  </si>
  <si>
    <t>Pickled mustard greens</t>
  </si>
  <si>
    <t>Daun mustard acar</t>
  </si>
  <si>
    <t>Garlic paste</t>
  </si>
  <si>
    <t>Pasta bawang putih</t>
  </si>
  <si>
    <t>Konjac powder</t>
  </si>
  <si>
    <t>Serbuk Konjac</t>
  </si>
  <si>
    <t>Honey</t>
  </si>
  <si>
    <t>Madu</t>
  </si>
  <si>
    <t>Spicy broad bean paste</t>
  </si>
  <si>
    <t>Maanghang na broad bean paste</t>
  </si>
  <si>
    <t>Pasta kacang lebar pedas</t>
  </si>
  <si>
    <t>Oats</t>
  </si>
  <si>
    <t>oats</t>
  </si>
  <si>
    <t>Gandum</t>
  </si>
  <si>
    <t>Sugar</t>
  </si>
  <si>
    <t>Asukal</t>
  </si>
  <si>
    <t>gula</t>
  </si>
  <si>
    <t>Tomatoes</t>
  </si>
  <si>
    <t>Kamatis</t>
  </si>
  <si>
    <t>Tomat</t>
  </si>
  <si>
    <t>Tomato butter</t>
  </si>
  <si>
    <t>Mantikilya ng kamatis</t>
  </si>
  <si>
    <t>Mentega tomat</t>
  </si>
  <si>
    <t>Dinner rolls</t>
  </si>
  <si>
    <t>Mga tinapay sa hapunan</t>
  </si>
  <si>
    <t>Roti makan malam</t>
  </si>
  <si>
    <t>Jiang Rong</t>
  </si>
  <si>
    <t>Potatoes</t>
  </si>
  <si>
    <t>Patatas</t>
  </si>
  <si>
    <t>kentang</t>
  </si>
  <si>
    <t>Eggs</t>
  </si>
  <si>
    <t>Mga Itlog</t>
  </si>
  <si>
    <t>telur</t>
  </si>
  <si>
    <t>Mushrooms</t>
  </si>
  <si>
    <t>kabute</t>
  </si>
  <si>
    <t>jamur</t>
  </si>
  <si>
    <t>Salt</t>
  </si>
  <si>
    <t>Asin</t>
  </si>
  <si>
    <t>Garam</t>
  </si>
  <si>
    <t>Eggplant</t>
  </si>
  <si>
    <t>talong</t>
  </si>
  <si>
    <t>terong</t>
  </si>
  <si>
    <t>Chicken powder</t>
  </si>
  <si>
    <t>Pulbos ng manok</t>
  </si>
  <si>
    <t>Bubuk ayam</t>
  </si>
  <si>
    <t>Century eggs</t>
  </si>
  <si>
    <t>Telur abad</t>
  </si>
  <si>
    <t>Salted eggs</t>
  </si>
  <si>
    <t>Mga itlog na may alat</t>
  </si>
  <si>
    <t>Telur asin</t>
  </si>
  <si>
    <t>Spinach</t>
  </si>
  <si>
    <t>spinach</t>
  </si>
  <si>
    <t>Bayam</t>
  </si>
  <si>
    <t>Garlic</t>
  </si>
  <si>
    <t>bawang</t>
  </si>
  <si>
    <t>bawang putih</t>
  </si>
  <si>
    <t>Barrel oysters</t>
  </si>
  <si>
    <t>Tiram tong</t>
  </si>
  <si>
    <t>Ginger</t>
  </si>
  <si>
    <t>luya</t>
  </si>
  <si>
    <t>jahe</t>
  </si>
  <si>
    <t>Oyster sauce</t>
  </si>
  <si>
    <t>Sarsa ng talaba</t>
  </si>
  <si>
    <t>Saus tiram</t>
  </si>
  <si>
    <t>Shaoxing wine</t>
  </si>
  <si>
    <t>Alak ng Shaoxing</t>
  </si>
  <si>
    <t>Anggur Shaoxing</t>
  </si>
  <si>
    <t>Chicken wings</t>
  </si>
  <si>
    <t>Pakpak ng manok</t>
  </si>
  <si>
    <t>Sayap ayam</t>
  </si>
  <si>
    <t>Black sesame</t>
  </si>
  <si>
    <t>Itim na linga</t>
  </si>
  <si>
    <t>Wijen hitam</t>
  </si>
  <si>
    <t>Garlic salt</t>
  </si>
  <si>
    <t>Asin ng bawang</t>
  </si>
  <si>
    <t>Garam bawang putih</t>
  </si>
  <si>
    <t>Cumin powder</t>
  </si>
  <si>
    <t>Pulbos ng cumin</t>
  </si>
  <si>
    <t>Bubuk jintan</t>
  </si>
  <si>
    <t>Five-spice powder</t>
  </si>
  <si>
    <t>Pulbos na may limang pampalasa</t>
  </si>
  <si>
    <t>Bubuk lima rempah</t>
  </si>
  <si>
    <t>Mga tainga ng pusa</t>
  </si>
  <si>
    <t>Telinga kucing</t>
  </si>
  <si>
    <t>Aged vinegar</t>
  </si>
  <si>
    <t>Lumang suka</t>
  </si>
  <si>
    <t>Cuka tua</t>
  </si>
  <si>
    <t>Chinese egg tofu</t>
  </si>
  <si>
    <t>Tsino na itlog na tofu</t>
  </si>
  <si>
    <t>tahu telur Cina</t>
  </si>
  <si>
    <t>Thin slices of pork belly</t>
  </si>
  <si>
    <t>Manipis na hiwa ng pork belly</t>
  </si>
  <si>
    <t>Irisan tipis perut babi</t>
  </si>
  <si>
    <t>White vinegar</t>
  </si>
  <si>
    <t>Puting suka</t>
  </si>
  <si>
    <t>Cuka putih</t>
  </si>
  <si>
    <t>Thinly sliced pork shoulder</t>
  </si>
  <si>
    <t>Manipis na hiniwang balikat ng baboy</t>
  </si>
  <si>
    <t>Bahu babi iris tipis</t>
  </si>
  <si>
    <t>Firm tofu</t>
  </si>
  <si>
    <t>Matibay na tofu</t>
  </si>
  <si>
    <t>Tahu padat</t>
  </si>
  <si>
    <t>Mirin</t>
  </si>
  <si>
    <t>mirin</t>
  </si>
  <si>
    <t>日式高湯包</t>
  </si>
  <si>
    <t>日式高湯包</t>
    <phoneticPr fontId="2" type="noConversion"/>
  </si>
  <si>
    <r>
      <rPr>
        <sz val="12"/>
        <color theme="1"/>
        <rFont val="細明體"/>
        <family val="2"/>
        <charset val="136"/>
      </rPr>
      <t>將洋葱切絲後</t>
    </r>
    <r>
      <rPr>
        <sz val="12"/>
        <color theme="1"/>
        <rFont val="Calibri"/>
        <family val="2"/>
      </rPr>
      <t xml:space="preserve">, </t>
    </r>
    <r>
      <rPr>
        <sz val="12"/>
        <color theme="1"/>
        <rFont val="細明體"/>
        <family val="2"/>
        <charset val="136"/>
      </rPr>
      <t>以中小火拌炒至焦黃</t>
    </r>
    <phoneticPr fontId="2" type="noConversion"/>
  </si>
  <si>
    <r>
      <rPr>
        <sz val="12"/>
        <color theme="1"/>
        <rFont val="細明體"/>
        <family val="2"/>
        <charset val="136"/>
      </rPr>
      <t>煲水至滾後加湯包煮</t>
    </r>
    <r>
      <rPr>
        <sz val="12"/>
        <color theme="1"/>
        <rFont val="Calibri"/>
        <family val="2"/>
      </rPr>
      <t>5</t>
    </r>
    <r>
      <rPr>
        <sz val="12"/>
        <color theme="1"/>
        <rFont val="細明體"/>
        <family val="2"/>
        <charset val="136"/>
      </rPr>
      <t>分鐘</t>
    </r>
    <r>
      <rPr>
        <sz val="12"/>
        <color theme="1"/>
        <rFont val="Calibri"/>
        <family val="2"/>
      </rPr>
      <t>,</t>
    </r>
    <r>
      <rPr>
        <sz val="12"/>
        <color theme="1"/>
        <rFont val="細明體"/>
        <family val="2"/>
        <charset val="136"/>
      </rPr>
      <t>將高湯包取出</t>
    </r>
    <phoneticPr fontId="2" type="noConversion"/>
  </si>
  <si>
    <t>打入蛋液,以鹽及黑胡椒調味</t>
    <phoneticPr fontId="2" type="noConversion"/>
  </si>
  <si>
    <t>在砧格上撒1把鹽, 放上秋葵, 用手壓著滾一滾以去除表層細毛, 接著清洗秋葵, 同時將蒂頭稜角的外皮以刀削除</t>
    <phoneticPr fontId="2" type="noConversion"/>
  </si>
  <si>
    <t>放入熱水中煮3分鐘, 起鍋後放入冰水中冰鎮</t>
    <phoneticPr fontId="2" type="noConversion"/>
  </si>
  <si>
    <t>淋上梅汁醬油即完成(市售醃梅子罐裡的糖水皆可用來製作)</t>
    <phoneticPr fontId="2" type="noConversion"/>
  </si>
  <si>
    <t>秋葵</t>
  </si>
  <si>
    <t>秋葵</t>
    <phoneticPr fontId="2" type="noConversion"/>
  </si>
  <si>
    <t>醃梅糖水</t>
  </si>
  <si>
    <t>醃梅糖水</t>
    <phoneticPr fontId="2" type="noConversion"/>
  </si>
  <si>
    <t>包</t>
    <phoneticPr fontId="2" type="noConversion"/>
  </si>
  <si>
    <t>芽菜</t>
  </si>
  <si>
    <t>芽菜</t>
    <phoneticPr fontId="2" type="noConversion"/>
  </si>
  <si>
    <r>
      <t>=TRANSLATE([@</t>
    </r>
    <r>
      <rPr>
        <sz val="12"/>
        <color theme="1"/>
        <rFont val="細明體"/>
        <family val="3"/>
        <charset val="136"/>
      </rPr>
      <t>材料</t>
    </r>
    <r>
      <rPr>
        <sz val="12"/>
        <color theme="1"/>
        <rFont val="Calibri"/>
        <family val="2"/>
      </rPr>
      <t>],"zh-cht","en")</t>
    </r>
  </si>
  <si>
    <t>條</t>
  </si>
  <si>
    <t>粒</t>
  </si>
  <si>
    <t>大把</t>
    <phoneticPr fontId="2" type="noConversion"/>
  </si>
  <si>
    <t>以適量麻油熱鍋後,加入豬肉片拌炒至熟</t>
    <phoneticPr fontId="2" type="noConversion"/>
  </si>
  <si>
    <t>加入椰菜及紅蘿蔔片拌炒至軟</t>
    <phoneticPr fontId="2" type="noConversion"/>
  </si>
  <si>
    <r>
      <rPr>
        <sz val="12"/>
        <color theme="1"/>
        <rFont val="細明體"/>
        <family val="2"/>
        <charset val="136"/>
      </rPr>
      <t>豬肉片以</t>
    </r>
    <r>
      <rPr>
        <sz val="12"/>
        <color theme="1"/>
        <rFont val="Calibri"/>
        <family val="2"/>
      </rPr>
      <t>2</t>
    </r>
    <r>
      <rPr>
        <sz val="12"/>
        <color theme="1"/>
        <rFont val="細明體"/>
        <family val="2"/>
        <charset val="136"/>
      </rPr>
      <t>茶匙生抽醃</t>
    </r>
    <r>
      <rPr>
        <sz val="12"/>
        <color theme="1"/>
        <rFont val="Calibri"/>
        <family val="2"/>
        <charset val="136"/>
      </rPr>
      <t xml:space="preserve">, </t>
    </r>
    <r>
      <rPr>
        <sz val="12"/>
        <color theme="1"/>
        <rFont val="細明體"/>
        <family val="2"/>
        <charset val="136"/>
      </rPr>
      <t>椰菜剝小片</t>
    </r>
    <r>
      <rPr>
        <sz val="12"/>
        <color theme="1"/>
        <rFont val="Calibri"/>
        <family val="2"/>
      </rPr>
      <t xml:space="preserve">, </t>
    </r>
    <r>
      <rPr>
        <sz val="12"/>
        <color theme="1"/>
        <rFont val="細明體"/>
        <family val="2"/>
        <charset val="136"/>
      </rPr>
      <t>紅蘿蔔切片</t>
    </r>
    <r>
      <rPr>
        <sz val="12"/>
        <color theme="1"/>
        <rFont val="Calibri"/>
        <family val="2"/>
      </rPr>
      <t xml:space="preserve">, </t>
    </r>
    <r>
      <rPr>
        <sz val="12"/>
        <color theme="1"/>
        <rFont val="細明體"/>
        <family val="2"/>
        <charset val="136"/>
      </rPr>
      <t>葱切段</t>
    </r>
    <r>
      <rPr>
        <sz val="12"/>
        <color theme="1"/>
        <rFont val="Calibri"/>
        <family val="2"/>
      </rPr>
      <t>,</t>
    </r>
    <r>
      <rPr>
        <sz val="12"/>
        <color theme="1"/>
        <rFont val="細明體"/>
        <family val="2"/>
        <charset val="136"/>
      </rPr>
      <t>蒜頭切片備用</t>
    </r>
    <r>
      <rPr>
        <sz val="12"/>
        <color theme="1"/>
        <rFont val="Calibri"/>
        <family val="2"/>
      </rPr>
      <t xml:space="preserve">. </t>
    </r>
    <phoneticPr fontId="2" type="noConversion"/>
  </si>
  <si>
    <t>加入芽菜,葱段及蒜片拌炒</t>
    <phoneticPr fontId="2" type="noConversion"/>
  </si>
  <si>
    <t>加入調味. 試味</t>
    <phoneticPr fontId="2" type="noConversion"/>
  </si>
  <si>
    <t>青瓜</t>
  </si>
  <si>
    <t>青瓜</t>
    <phoneticPr fontId="2" type="noConversion"/>
  </si>
  <si>
    <t>鎮江醋</t>
  </si>
  <si>
    <t>鎮江醋</t>
    <phoneticPr fontId="2" type="noConversion"/>
  </si>
  <si>
    <t>指天椒</t>
  </si>
  <si>
    <t>將調味倒入攪拌，再放入青瓜中。</t>
  </si>
  <si>
    <t>鹽醃 10 分鐘，倒去青瓜水。</t>
  </si>
  <si>
    <t>青瓜切小段，用刀輕拍青瓜。</t>
  </si>
  <si>
    <t>件</t>
  </si>
  <si>
    <r>
      <rPr>
        <sz val="12"/>
        <color theme="1"/>
        <rFont val="新細明體"/>
        <family val="2"/>
        <charset val="136"/>
        <scheme val="minor"/>
      </rPr>
      <t>五花腩</t>
    </r>
  </si>
  <si>
    <r>
      <rPr>
        <sz val="12"/>
        <color theme="1"/>
        <rFont val="新細明體"/>
        <family val="2"/>
        <charset val="136"/>
        <scheme val="minor"/>
      </rPr>
      <t>燕麥</t>
    </r>
  </si>
  <si>
    <r>
      <rPr>
        <sz val="12"/>
        <color theme="1"/>
        <rFont val="新細明體"/>
        <family val="2"/>
        <charset val="136"/>
        <scheme val="minor"/>
      </rPr>
      <t>水</t>
    </r>
  </si>
  <si>
    <r>
      <rPr>
        <sz val="12"/>
        <color theme="1"/>
        <rFont val="新細明體"/>
        <family val="2"/>
        <charset val="136"/>
        <scheme val="minor"/>
      </rPr>
      <t>鹽</t>
    </r>
  </si>
  <si>
    <r>
      <rPr>
        <sz val="12"/>
        <color theme="1"/>
        <rFont val="新細明體"/>
        <family val="2"/>
        <charset val="136"/>
        <scheme val="minor"/>
      </rPr>
      <t>糖</t>
    </r>
  </si>
  <si>
    <t>雞胸肉</t>
  </si>
  <si>
    <t>雞胸肉</t>
    <phoneticPr fontId="2" type="noConversion"/>
  </si>
  <si>
    <t>白芝麻</t>
  </si>
  <si>
    <t>白芝麻</t>
    <phoneticPr fontId="2" type="noConversion"/>
  </si>
  <si>
    <t>Chili</t>
    <phoneticPr fontId="2" type="noConversion"/>
  </si>
  <si>
    <t>食用前倒入麻油及白芝麻作裝飾。</t>
  </si>
  <si>
    <t>炒香的粉混入雞粉，混入雞絲，放雪櫃。</t>
  </si>
  <si>
    <t>白鑊炒香五香粉及鹽（或用椒鹽）。</t>
  </si>
  <si>
    <t>雞蒸熟，放涼，手撕成條。</t>
  </si>
  <si>
    <t>把薑汁分好在碗中，把奶倒入碗中，勿動至少 1 分鐘即成。</t>
  </si>
  <si>
    <t>把煮好的奶倒入一個涼的鍋中，來回倒十次。</t>
  </si>
  <si>
    <t>煮奶用中小火，小心不可煮滾，不斷攪拌，直至邊邊冒小氣泡。</t>
  </si>
  <si>
    <t>用將會盛奶的碗量好牛奶，磨薑汁備用。</t>
  </si>
  <si>
    <t>碗</t>
  </si>
  <si>
    <t>薑汁</t>
  </si>
  <si>
    <t>薑汁</t>
    <phoneticPr fontId="2" type="noConversion"/>
  </si>
  <si>
    <t>把豬排放在鹽水中浸約半小時，浸出血水及腥味，再晾乾。</t>
  </si>
  <si>
    <t>把乾了的豬排放入醃料Ⓐ（雞蛋、鹽、糖、生抽、薑汁、胡椒粉、生粉、麵粉）按摩 1 分鐘，放進雪櫃醃 4 小時。</t>
  </si>
  <si>
    <t>中火煎豬排，快熟時開大火鎖實，盛起備用。</t>
  </si>
  <si>
    <t>洋葱切條，中火炒 1 分鐘，加入蒜蓉，再加芡汁Ⓑ（鹽、糖、茄汁、喼汁、生抽、黑胡椒；喼汁最遲放）。完成後倒入豬排中。</t>
  </si>
  <si>
    <t>塊</t>
  </si>
  <si>
    <r>
      <rPr>
        <sz val="12"/>
        <color theme="1"/>
        <rFont val="新細明體"/>
        <family val="2"/>
        <charset val="136"/>
        <scheme val="minor"/>
      </rPr>
      <t>生粉</t>
    </r>
  </si>
  <si>
    <r>
      <rPr>
        <sz val="12"/>
        <color theme="1"/>
        <rFont val="新細明體"/>
        <family val="2"/>
        <charset val="136"/>
        <scheme val="minor"/>
      </rPr>
      <t>葱</t>
    </r>
  </si>
  <si>
    <r>
      <rPr>
        <sz val="12"/>
        <color theme="1"/>
        <rFont val="新細明體"/>
        <family val="2"/>
        <charset val="136"/>
        <scheme val="minor"/>
      </rPr>
      <t>木瓜</t>
    </r>
  </si>
  <si>
    <r>
      <rPr>
        <sz val="12"/>
        <color theme="1"/>
        <rFont val="新細明體"/>
        <family val="2"/>
        <charset val="136"/>
        <scheme val="minor"/>
      </rPr>
      <t>椰漿</t>
    </r>
  </si>
  <si>
    <r>
      <rPr>
        <sz val="12"/>
        <color theme="1"/>
        <rFont val="新細明體"/>
        <family val="2"/>
        <charset val="136"/>
        <scheme val="minor"/>
      </rPr>
      <t>適量</t>
    </r>
    <phoneticPr fontId="2" type="noConversion"/>
  </si>
  <si>
    <t>豬扒</t>
  </si>
  <si>
    <t>豬扒</t>
    <phoneticPr fontId="2" type="noConversion"/>
  </si>
  <si>
    <t>麵粉</t>
  </si>
  <si>
    <t>麵粉</t>
    <phoneticPr fontId="2" type="noConversion"/>
  </si>
  <si>
    <r>
      <rPr>
        <sz val="12"/>
        <color theme="1"/>
        <rFont val="新細明體"/>
        <family val="2"/>
        <charset val="136"/>
        <scheme val="minor"/>
      </rPr>
      <t>食材</t>
    </r>
    <phoneticPr fontId="2" type="noConversion"/>
  </si>
  <si>
    <r>
      <rPr>
        <sz val="12"/>
        <color theme="1"/>
        <rFont val="新細明體"/>
        <family val="2"/>
        <charset val="136"/>
        <scheme val="minor"/>
      </rPr>
      <t>調味</t>
    </r>
    <phoneticPr fontId="2" type="noConversion"/>
  </si>
  <si>
    <t>醃料</t>
    <phoneticPr fontId="2" type="noConversion"/>
  </si>
  <si>
    <t>芡汁</t>
    <phoneticPr fontId="2" type="noConversion"/>
  </si>
  <si>
    <t>茄汁</t>
  </si>
  <si>
    <t>茄汁</t>
    <phoneticPr fontId="2" type="noConversion"/>
  </si>
  <si>
    <t>喼汁</t>
  </si>
  <si>
    <t>喼汁</t>
    <phoneticPr fontId="2" type="noConversion"/>
  </si>
  <si>
    <t>Worcester sauce</t>
  </si>
  <si>
    <t>甜椒</t>
  </si>
  <si>
    <t>甜椒</t>
    <phoneticPr fontId="2" type="noConversion"/>
  </si>
  <si>
    <t>櫛瓜</t>
  </si>
  <si>
    <t>櫛瓜</t>
    <phoneticPr fontId="2" type="noConversion"/>
  </si>
  <si>
    <t>味噌</t>
  </si>
  <si>
    <t>味噌</t>
    <phoneticPr fontId="2" type="noConversion"/>
  </si>
  <si>
    <t>清酒</t>
  </si>
  <si>
    <t>清酒</t>
    <phoneticPr fontId="2" type="noConversion"/>
  </si>
  <si>
    <r>
      <rPr>
        <sz val="12"/>
        <color theme="1"/>
        <rFont val="新細明體"/>
        <family val="2"/>
        <charset val="136"/>
      </rPr>
      <t>個</t>
    </r>
  </si>
  <si>
    <r>
      <rPr>
        <sz val="12"/>
        <color theme="1"/>
        <rFont val="新細明體"/>
        <family val="2"/>
        <charset val="136"/>
      </rPr>
      <t>隻</t>
    </r>
  </si>
  <si>
    <r>
      <rPr>
        <sz val="12"/>
        <color theme="1"/>
        <rFont val="新細明體"/>
        <family val="2"/>
        <charset val="136"/>
      </rPr>
      <t>匙</t>
    </r>
  </si>
  <si>
    <r>
      <rPr>
        <sz val="12"/>
        <color theme="1"/>
        <rFont val="新細明體"/>
        <family val="2"/>
        <charset val="136"/>
      </rPr>
      <t>湯匙</t>
    </r>
  </si>
  <si>
    <r>
      <rPr>
        <sz val="12"/>
        <color theme="1"/>
        <rFont val="細明體"/>
        <family val="2"/>
        <charset val="136"/>
      </rPr>
      <t>甜椒</t>
    </r>
    <r>
      <rPr>
        <sz val="12"/>
        <color theme="1"/>
        <rFont val="Calibri"/>
        <family val="2"/>
      </rPr>
      <t>,</t>
    </r>
    <r>
      <rPr>
        <sz val="12"/>
        <color theme="1"/>
        <rFont val="細明體"/>
        <family val="2"/>
        <charset val="136"/>
      </rPr>
      <t>櫛瓜切小塊備用</t>
    </r>
    <phoneticPr fontId="2" type="noConversion"/>
  </si>
  <si>
    <t>將調味料混合均勻後,與五花肉片抓勻,可提前醃著冰冷藏或冷凍</t>
    <phoneticPr fontId="2" type="noConversion"/>
  </si>
  <si>
    <t>以少許油熱鍋後, 加入甜椒與櫛瓜拌炒至熟,撒少許鹽調味</t>
    <phoneticPr fontId="2" type="noConversion"/>
  </si>
  <si>
    <t>將五花肉片放入鍋中拌炒至熟</t>
    <phoneticPr fontId="2" type="noConversion"/>
  </si>
  <si>
    <t>雜菇</t>
  </si>
  <si>
    <t>雜菇</t>
    <phoneticPr fontId="2" type="noConversion"/>
  </si>
  <si>
    <t>粟米仔</t>
  </si>
  <si>
    <t>粟米仔</t>
    <phoneticPr fontId="2" type="noConversion"/>
  </si>
  <si>
    <t>九層塔</t>
  </si>
  <si>
    <t>九層塔</t>
    <phoneticPr fontId="2" type="noConversion"/>
  </si>
  <si>
    <t>Basil</t>
    <phoneticPr fontId="2" type="noConversion"/>
  </si>
  <si>
    <t>幾</t>
    <phoneticPr fontId="2" type="noConversion"/>
  </si>
  <si>
    <t>株</t>
    <phoneticPr fontId="2" type="noConversion"/>
  </si>
  <si>
    <t>將雜菇切成適合大小, 粟仔仔切小段</t>
    <phoneticPr fontId="2" type="noConversion"/>
  </si>
  <si>
    <t>少許油熱鍋後,加入所有食材翻炒至軟. 最後放入九層塔及蒜蓉(也可放點辣椒). 並放調味</t>
    <phoneticPr fontId="2" type="noConversion"/>
  </si>
  <si>
    <t>以少許油熱鍋,加入洋葱絲,中小火炒至金黃色</t>
    <phoneticPr fontId="2" type="noConversion"/>
  </si>
  <si>
    <t>加入梅肉片炒至熟</t>
    <phoneticPr fontId="2" type="noConversion"/>
  </si>
  <si>
    <t>加入調味,讓醬汁與肉片拌炒均勻. 即完成. 也可點黑胡椒提味</t>
    <phoneticPr fontId="2" type="noConversion"/>
  </si>
  <si>
    <r>
      <rPr>
        <sz val="12"/>
        <color theme="1"/>
        <rFont val="細明體"/>
        <family val="2"/>
        <charset val="136"/>
      </rPr>
      <t>將葱花加入蛋中打散</t>
    </r>
    <r>
      <rPr>
        <sz val="12"/>
        <color theme="1"/>
        <rFont val="Calibri"/>
        <family val="2"/>
      </rPr>
      <t>,</t>
    </r>
    <r>
      <rPr>
        <sz val="12"/>
        <color theme="1"/>
        <rFont val="細明體"/>
        <family val="2"/>
        <charset val="136"/>
      </rPr>
      <t>待油熱後</t>
    </r>
    <r>
      <rPr>
        <sz val="12"/>
        <color theme="1"/>
        <rFont val="Calibri"/>
        <family val="2"/>
      </rPr>
      <t>,</t>
    </r>
    <r>
      <rPr>
        <sz val="12"/>
        <color theme="1"/>
        <rFont val="細明體"/>
        <family val="2"/>
        <charset val="136"/>
      </rPr>
      <t>倒入蛋炒至八分熟起鍋備用</t>
    </r>
    <phoneticPr fontId="2" type="noConversion"/>
  </si>
  <si>
    <t>蕃茄切成小塊,同一鍋補油,倒蕃茄入鍋炒至軟</t>
    <phoneticPr fontId="2" type="noConversion"/>
  </si>
  <si>
    <t>將炒蛋回鍋, 加調味.待醬料與食材拌炒勻勻</t>
    <phoneticPr fontId="2" type="noConversion"/>
  </si>
  <si>
    <t>薄牛肉片</t>
  </si>
  <si>
    <t>薄牛肉片</t>
    <phoneticPr fontId="2" type="noConversion"/>
  </si>
  <si>
    <t>鰹魚高湯粉</t>
  </si>
  <si>
    <t>鰹魚高湯粉</t>
    <phoneticPr fontId="2" type="noConversion"/>
  </si>
  <si>
    <t>Dashi</t>
    <phoneticPr fontId="2" type="noConversion"/>
  </si>
  <si>
    <t>洋葱切幼條, 弄散, 牛肉弄散</t>
    <phoneticPr fontId="2" type="noConversion"/>
  </si>
  <si>
    <t>開火炒洋葱至金黃色, 調細火或關火放調味</t>
    <phoneticPr fontId="2" type="noConversion"/>
  </si>
  <si>
    <t>汁滾再用中火煮一下至汁濃,下牛肉同煮</t>
    <phoneticPr fontId="2" type="noConversion"/>
  </si>
  <si>
    <t>盛飯,倒上面, 撒葱花</t>
    <phoneticPr fontId="2" type="noConversion"/>
  </si>
  <si>
    <t>小青瓜炒肉末</t>
    <phoneticPr fontId="2" type="noConversion"/>
  </si>
  <si>
    <t>小青瓜</t>
  </si>
  <si>
    <t>小青瓜</t>
    <phoneticPr fontId="2" type="noConversion"/>
  </si>
  <si>
    <t>Onion</t>
  </si>
  <si>
    <t>sibuyas</t>
  </si>
  <si>
    <t>Japanese-style broth buns</t>
  </si>
  <si>
    <t>Mga tinapay na may sabaw na istilong Hapones</t>
  </si>
  <si>
    <t>Bakpao kaldu gaya Jepang</t>
  </si>
  <si>
    <t>Okra</t>
  </si>
  <si>
    <t>okra</t>
  </si>
  <si>
    <t>Pickled plum syrup</t>
  </si>
  <si>
    <t>Sirup plum acar</t>
  </si>
  <si>
    <t>Sprouts</t>
  </si>
  <si>
    <t>mga usbong</t>
  </si>
  <si>
    <t>kecambah</t>
  </si>
  <si>
    <t>Cucumber</t>
  </si>
  <si>
    <t>pipino</t>
  </si>
  <si>
    <t>mentimun</t>
  </si>
  <si>
    <t>Zhenjiang vinegar</t>
  </si>
  <si>
    <t>Suka ng Zhenjiang</t>
  </si>
  <si>
    <t>Cuka Zhenjiang</t>
  </si>
  <si>
    <t>Chili</t>
  </si>
  <si>
    <t>cabai</t>
  </si>
  <si>
    <t>Chicken breast</t>
  </si>
  <si>
    <t>Dibdib ng manok</t>
  </si>
  <si>
    <t>Dada ayam</t>
  </si>
  <si>
    <t>White sesame</t>
  </si>
  <si>
    <t>Puting linga</t>
  </si>
  <si>
    <t>Wijen putih</t>
  </si>
  <si>
    <t>Ginger juice</t>
  </si>
  <si>
    <t>Katas ng luya</t>
  </si>
  <si>
    <t>Jus jahe</t>
  </si>
  <si>
    <t>Pork chop</t>
  </si>
  <si>
    <t>Daging babi</t>
  </si>
  <si>
    <t>Flour</t>
  </si>
  <si>
    <t>harina</t>
  </si>
  <si>
    <t>tepung</t>
  </si>
  <si>
    <t>Tomato sauce</t>
  </si>
  <si>
    <t>Sarsa ng kamatis</t>
  </si>
  <si>
    <t>Saus tomat</t>
  </si>
  <si>
    <t>Sarsa ng Worcester</t>
  </si>
  <si>
    <t>Saus Worcester</t>
  </si>
  <si>
    <t>Bell peppers</t>
  </si>
  <si>
    <t>Paprika</t>
  </si>
  <si>
    <t>Coma gourd</t>
  </si>
  <si>
    <t>kalabasa ng coma</t>
  </si>
  <si>
    <t>labu koma</t>
  </si>
  <si>
    <t>Miso</t>
  </si>
  <si>
    <t>miso</t>
  </si>
  <si>
    <t>Sake</t>
  </si>
  <si>
    <t>sake</t>
  </si>
  <si>
    <t>Mixed mushrooms</t>
  </si>
  <si>
    <t>Halo-halong kabute</t>
  </si>
  <si>
    <t>Jamur campuran</t>
  </si>
  <si>
    <t>Corn kernels</t>
  </si>
  <si>
    <t>Mga butil ng mais</t>
  </si>
  <si>
    <t>Biji jagung</t>
  </si>
  <si>
    <t>basil</t>
  </si>
  <si>
    <t>kemangi</t>
  </si>
  <si>
    <t>Thin slices of beef</t>
  </si>
  <si>
    <t>Manipis na hiwa ng baka</t>
  </si>
  <si>
    <t>Irisan tipis daging sapi</t>
  </si>
  <si>
    <t>Dashi</t>
  </si>
  <si>
    <t>dashi</t>
  </si>
  <si>
    <t>豬肉碎</t>
  </si>
  <si>
    <t>豬肉碎</t>
    <phoneticPr fontId="2" type="noConversion"/>
  </si>
  <si>
    <t>豆瓣醬</t>
  </si>
  <si>
    <t>豆瓣醬</t>
    <phoneticPr fontId="2" type="noConversion"/>
  </si>
  <si>
    <t>瓣</t>
    <phoneticPr fontId="2" type="noConversion"/>
  </si>
  <si>
    <t>小青瓜滾刀切成塊狀</t>
    <phoneticPr fontId="2" type="noConversion"/>
  </si>
  <si>
    <t>麻油熱鍋,加入豬肉炒至熟</t>
    <phoneticPr fontId="2" type="noConversion"/>
  </si>
  <si>
    <t>加蒜蓉爆香至香氣出來,加入調味, 繼續炒肉拌勻</t>
    <phoneticPr fontId="2" type="noConversion"/>
  </si>
  <si>
    <t>加入小青瓜略炒.加水, 以小火煨煮</t>
    <phoneticPr fontId="2" type="noConversion"/>
  </si>
  <si>
    <t>待小青瓜煮軟入味即可</t>
    <phoneticPr fontId="2" type="noConversion"/>
  </si>
  <si>
    <t>金菇肥牛</t>
    <phoneticPr fontId="2" type="noConversion"/>
  </si>
  <si>
    <t>D0259</t>
  </si>
  <si>
    <t>鹽漬鯖魚退冰後放入焗爐,200度烤20分鐘</t>
    <phoneticPr fontId="2" type="noConversion"/>
  </si>
  <si>
    <t>鹽漬鯖魚</t>
  </si>
  <si>
    <t>鹽漬鯖魚</t>
    <phoneticPr fontId="2" type="noConversion"/>
  </si>
  <si>
    <t>將生抽加入蛋中打散, 待油熱後,倒入蛋液炒至八分熟, 起鑊</t>
    <phoneticPr fontId="2" type="noConversion"/>
  </si>
  <si>
    <t>放同一鍋, 加入茭白筍略炒. 加入水,燜炒至軟</t>
    <phoneticPr fontId="2" type="noConversion"/>
  </si>
  <si>
    <t>將炒蛋加回鍋中拌炒, 最後加調味</t>
    <phoneticPr fontId="2" type="noConversion"/>
  </si>
  <si>
    <t>茭白筍</t>
  </si>
  <si>
    <t>杯</t>
    <phoneticPr fontId="2" type="noConversion"/>
  </si>
  <si>
    <t>雞胸肉片用醃料醃</t>
    <phoneticPr fontId="2" type="noConversion"/>
  </si>
  <si>
    <t>食材</t>
    <phoneticPr fontId="2" type="noConversion"/>
  </si>
  <si>
    <t>蘆筍</t>
  </si>
  <si>
    <t>鳳梨</t>
  </si>
  <si>
    <t>把</t>
    <phoneticPr fontId="2" type="noConversion"/>
  </si>
  <si>
    <r>
      <t>(</t>
    </r>
    <r>
      <rPr>
        <sz val="12"/>
        <color theme="1"/>
        <rFont val="細明體"/>
        <family val="2"/>
        <charset val="136"/>
      </rPr>
      <t>可省略</t>
    </r>
    <r>
      <rPr>
        <sz val="12"/>
        <color theme="1"/>
        <rFont val="Calibri"/>
        <family val="2"/>
      </rPr>
      <t>)</t>
    </r>
    <phoneticPr fontId="2" type="noConversion"/>
  </si>
  <si>
    <t>以油熱鍋,加入肉快炒至熟. 起鍋. 同一鍋加入蒜片爆香,再加蘆筍及甜椒炒熟</t>
    <phoneticPr fontId="2" type="noConversion"/>
  </si>
  <si>
    <r>
      <rPr>
        <sz val="12"/>
        <color theme="1"/>
        <rFont val="細明體"/>
        <family val="2"/>
        <charset val="136"/>
      </rPr>
      <t>雞肉與鳳梨回鑊拌炒</t>
    </r>
    <r>
      <rPr>
        <sz val="12"/>
        <color theme="1"/>
        <rFont val="Calibri"/>
        <family val="2"/>
      </rPr>
      <t>,</t>
    </r>
    <r>
      <rPr>
        <sz val="12"/>
        <color theme="1"/>
        <rFont val="細明體"/>
        <family val="2"/>
        <charset val="136"/>
      </rPr>
      <t>最後調味即可</t>
    </r>
    <phoneticPr fontId="2" type="noConversion"/>
  </si>
  <si>
    <t>欄1</t>
  </si>
  <si>
    <t>Dish_En</t>
    <phoneticPr fontId="2" type="noConversion"/>
  </si>
  <si>
    <t>冬菜蒸青根</t>
  </si>
  <si>
    <t>Mapo Tofu</t>
  </si>
  <si>
    <t>金銀蛋菠菜</t>
  </si>
  <si>
    <t>土匪雞翼</t>
  </si>
  <si>
    <t>薑葱焗桶蠔</t>
  </si>
  <si>
    <t>腐竹芋圓糖水</t>
  </si>
  <si>
    <t>涼伴雲耳</t>
  </si>
  <si>
    <t>拍青瓜</t>
  </si>
  <si>
    <t>涼拌雞絲</t>
  </si>
  <si>
    <t>涼拌雞絲</t>
    <phoneticPr fontId="2" type="noConversion"/>
  </si>
  <si>
    <t>滋陰健胃湯</t>
  </si>
  <si>
    <t>淮山粟米栗子湯</t>
  </si>
  <si>
    <t>淮山粟米栗子湯</t>
    <phoneticPr fontId="2" type="noConversion"/>
  </si>
  <si>
    <t>魚唇滋陰養顏湯</t>
  </si>
  <si>
    <t>薑汁撞奶</t>
  </si>
  <si>
    <t>洋葱豬排</t>
  </si>
  <si>
    <t>Mashed potato with miced meat in tomato sauce</t>
    <phoneticPr fontId="2" type="noConversion"/>
  </si>
  <si>
    <t>京葱炒羊肉片</t>
  </si>
  <si>
    <t>台灣滷肉</t>
  </si>
  <si>
    <t>牛大力土茯苓湯</t>
  </si>
  <si>
    <t>腐乳雞翼</t>
  </si>
  <si>
    <t>蓮藕炒甘筍</t>
  </si>
  <si>
    <t>蒜蓉香菇</t>
  </si>
  <si>
    <t>蒜泥白肉</t>
  </si>
  <si>
    <t>中文菜名 (Chinese)</t>
  </si>
  <si>
    <t>英文翻譯 (English)</t>
  </si>
  <si>
    <t>菲律賓文翻譯 (Filipino/Tagalog)</t>
  </si>
  <si>
    <t>燕麥蒸肉餅</t>
  </si>
  <si>
    <t>蒸水蛋</t>
  </si>
  <si>
    <t>肉碎蒸水蛋</t>
  </si>
  <si>
    <t>麻婆豆腐</t>
  </si>
  <si>
    <t>蒜蓉蒸茄子</t>
  </si>
  <si>
    <t>蒸魚</t>
  </si>
  <si>
    <t>Steamed Fish</t>
  </si>
  <si>
    <t>Honey Chicken Wings</t>
  </si>
  <si>
    <t>煎豬排</t>
  </si>
  <si>
    <t>煎牛扒</t>
  </si>
  <si>
    <t>煎魚</t>
  </si>
  <si>
    <t>Pan-fried Fish</t>
  </si>
  <si>
    <t>Pan-fried Salmon</t>
  </si>
  <si>
    <t>楊枝甘露</t>
  </si>
  <si>
    <t>Mango Pomelo Sago Dessert</t>
  </si>
  <si>
    <t>川椒雞</t>
  </si>
  <si>
    <t>油熱鍋後,放入蒜白爆香, 放入五花肉塊拌炒至表層變白,加入調味料A,拌炒2分鐘,讓肉上色</t>
    <phoneticPr fontId="2" type="noConversion"/>
  </si>
  <si>
    <t>加入水及調味料B,湯汁滾後蓋上蓋,小火燉約40分鐘,將肉燉軟入味</t>
    <phoneticPr fontId="2" type="noConversion"/>
  </si>
  <si>
    <t>加入蘿蔔塊(要泡入滷汁)以小火燜煮5-20分鐘, 待蘿蔔變成琥珀色,加入蒜綠即成</t>
    <phoneticPr fontId="2" type="noConversion"/>
  </si>
  <si>
    <t>五花腩</t>
  </si>
  <si>
    <t>白蘿蔔</t>
  </si>
  <si>
    <t>白蘿蔔</t>
    <phoneticPr fontId="2" type="noConversion"/>
  </si>
  <si>
    <t>蒜苗</t>
  </si>
  <si>
    <t>蒜苗</t>
    <phoneticPr fontId="2" type="noConversion"/>
  </si>
  <si>
    <t>根</t>
    <phoneticPr fontId="2" type="noConversion"/>
  </si>
  <si>
    <r>
      <rPr>
        <sz val="12"/>
        <color theme="1"/>
        <rFont val="微軟正黑體"/>
        <family val="2"/>
        <charset val="136"/>
      </rPr>
      <t>調味</t>
    </r>
    <r>
      <rPr>
        <sz val="12"/>
        <color theme="1"/>
        <rFont val="Calibri"/>
        <family val="2"/>
      </rPr>
      <t>A</t>
    </r>
    <phoneticPr fontId="2" type="noConversion"/>
  </si>
  <si>
    <r>
      <rPr>
        <sz val="12"/>
        <color theme="1"/>
        <rFont val="微軟正黑體"/>
        <family val="2"/>
        <charset val="136"/>
      </rPr>
      <t>調味</t>
    </r>
    <r>
      <rPr>
        <sz val="12"/>
        <color theme="1"/>
        <rFont val="Calibri"/>
        <family val="2"/>
      </rPr>
      <t>B</t>
    </r>
    <phoneticPr fontId="2" type="noConversion"/>
  </si>
  <si>
    <t>Steamed Pork Patty with Oats</t>
  </si>
  <si>
    <t>Pinasingawang Giniling na Baboy na may Oats</t>
  </si>
  <si>
    <t>Daging Babi Cincang Kukus dengan Oat</t>
  </si>
  <si>
    <t>Steamed Egg Custard</t>
  </si>
  <si>
    <t>Pinasingawang Itlog</t>
  </si>
  <si>
    <t>Telur Kukus</t>
  </si>
  <si>
    <t>Steamed Egg Custard with Minced Pork</t>
  </si>
  <si>
    <t>Pinasingawang Itlog na may Giniling na Baboy</t>
  </si>
  <si>
    <t>Telur Kukus dengan Babi Cincang</t>
  </si>
  <si>
    <t>Stir-fried Clams with Black Beans and Peppers</t>
  </si>
  <si>
    <t>Ginisang Tulya na may Tausi at Sili</t>
  </si>
  <si>
    <t>Kerang Tumis dengan Kacang Hitam Fermentasi dan Paprika</t>
  </si>
  <si>
    <t>Steamed Qinggen Fish with Preserved Tianjin Cabbage</t>
  </si>
  <si>
    <t>Pinasingawang Isdang Qinggen na may Inasnan na Repolyo ng Tianjin</t>
  </si>
  <si>
    <t>Ikan Qinggen Kukus dengan Sawi Asin Tianjin</t>
  </si>
  <si>
    <t>Mapo Tokwa</t>
  </si>
  <si>
    <t>Tahu Mapo</t>
  </si>
  <si>
    <t>Steamed Eggplant with Minced Garlic</t>
  </si>
  <si>
    <t>Pinasingawang Talong na may Tinadtad na Bawang</t>
  </si>
  <si>
    <t>Terung Kukus dengan Bawang Putih Cincang</t>
  </si>
  <si>
    <t>Spinach with Salted and Century Eggs</t>
  </si>
  <si>
    <t>Espinaka na may Itlog na Maalat at Century Egg</t>
  </si>
  <si>
    <t>Bayam dengan Telur Asin dan Telur Pitan</t>
  </si>
  <si>
    <t>Sweet Soup with Dried Tofu Skin and Taro Balls</t>
  </si>
  <si>
    <t>Matamis na Sabaw na may Balat ng Tokwa at Bola-bolang Gabi</t>
  </si>
  <si>
    <t>Sup Manis Kulit Tahu dan Bola Talas</t>
  </si>
  <si>
    <t>Pan-braised Shucked Oysters with Ginger and Spring Onions</t>
  </si>
  <si>
    <t>Tinalabang Niluto sa Luya at Dahon ng Sibuyas</t>
  </si>
  <si>
    <t>Tiram Kupas Masak Jahe dan Daun Bawang</t>
  </si>
  <si>
    <t>Bandit-style Chicken Wings</t>
  </si>
  <si>
    <t>Pakpak ng Manok na Estilong Bandido</t>
  </si>
  <si>
    <t>Sayap Ayam ala Bandit</t>
  </si>
  <si>
    <t>Cold Wood Ear Mushroom Salad</t>
  </si>
  <si>
    <t>Malamig na Salad ng Kabuteng Tenga</t>
  </si>
  <si>
    <t>Salad Jamur Kuping Dingin</t>
  </si>
  <si>
    <t>Smashed Cucumber Salad</t>
  </si>
  <si>
    <t>Salad ng Pinukpok na Pipino</t>
  </si>
  <si>
    <t>Salad Mentimun Geprek</t>
  </si>
  <si>
    <t>Cold Shredded Chicken Salad</t>
  </si>
  <si>
    <t>Malamig na Salad ng Hinimay na Manok</t>
  </si>
  <si>
    <t>Salad Ayam Suwir Dingin</t>
  </si>
  <si>
    <t>Yin-nourishing and Stomach-supporting Soup</t>
  </si>
  <si>
    <t>Sabaw para sa Yin at Sikmura</t>
  </si>
  <si>
    <t>Sup Penutrisi Yin dan Pendukung Lambung</t>
  </si>
  <si>
    <t>僅翻譯原菜名的傳統用途描述，不代表確認療效；未推斷湯料。</t>
  </si>
  <si>
    <t>Chinese Yam, Corn and Chestnut Soup</t>
  </si>
  <si>
    <t>Sabaw ng Chinese Yam, Mais at Kastanyas</t>
  </si>
  <si>
    <t>Sup Ubi Cina, Jagung dan Kastanya</t>
  </si>
  <si>
    <t>Fish Lip Soup for Yin Nourishment and Beauty</t>
  </si>
  <si>
    <t>Sabaw ng Labi ng Isda para sa Yin at Kagandahan</t>
  </si>
  <si>
    <t>Sup Bibir Ikan untuk Menutrisi Yin dan Kecantikan</t>
  </si>
  <si>
    <t>僅翻譯原菜名的傳統用途描述，不代表確認療效；未加入未列明的湯料。</t>
  </si>
  <si>
    <t>姬松菇養心安神湯</t>
  </si>
  <si>
    <t>Agaricus Mushroom Soup for Nourishing the Heart and Calming the Mind</t>
  </si>
  <si>
    <t>Sabaw ng Kabuteng Agaricus para sa Puso at Pagpapakalma</t>
  </si>
  <si>
    <t>Sup Jamur Agaricus untuk Menutrisi Jantung dan Menenangkan Pikiran</t>
  </si>
  <si>
    <t>僅翻譯原菜名的傳統用途描述，不代表確認療效。</t>
  </si>
  <si>
    <t>Ginger Milk Pudding</t>
  </si>
  <si>
    <t>Puding na Gatas at Luya</t>
  </si>
  <si>
    <t>Puding Susu Jahe</t>
  </si>
  <si>
    <t>Pork Chops with Onions</t>
  </si>
  <si>
    <t>Pork Chop na may Sibuyas</t>
  </si>
  <si>
    <t>Potongan Babi dengan Bawang Bombai</t>
  </si>
  <si>
    <t>井</t>
  </si>
  <si>
    <t>Stir-fried Sliced Lamb with Chinese Leeks</t>
  </si>
  <si>
    <t>Ginisang Hiniwang Tupa na may Chinese Leek</t>
  </si>
  <si>
    <t>Irisan Daging Domba Tumis dengan Daun Bawang Besar</t>
  </si>
  <si>
    <t>Taiwanese Braised Pork</t>
  </si>
  <si>
    <t>Nilagang Baboy sa Toyo na Estilong Taiwan</t>
  </si>
  <si>
    <t>Babi Masak Kecap ala Taiwan</t>
  </si>
  <si>
    <t>Millettia Root and Smilax Root Soup</t>
  </si>
  <si>
    <t>Sabaw ng Ugat ng Millettia at Smilax</t>
  </si>
  <si>
    <t>Sup Akar Millettia dan Smilax</t>
  </si>
  <si>
    <t>Chicken Wings with Fermented Bean Curd</t>
  </si>
  <si>
    <t>Pakpak ng Manok na may Burong Tokwa</t>
  </si>
  <si>
    <t>Sayap Ayam dengan Tahu Fermentasi</t>
  </si>
  <si>
    <t>Stir-fried Lotus Root and Carrots</t>
  </si>
  <si>
    <t>Ginisang Ugat ng Lotus at Karot</t>
  </si>
  <si>
    <t>Akar Teratai dan Wortel Tumis</t>
  </si>
  <si>
    <t>Shiitake Mushrooms with Minced Garlic</t>
  </si>
  <si>
    <t>Kabuteng Shiitake na may Tinadtad na Bawang</t>
  </si>
  <si>
    <t>Jamur Shiitake dengan Bawang Putih Cincang</t>
  </si>
  <si>
    <t>Sliced Pork with Garlic Sauce</t>
  </si>
  <si>
    <t>Hiniwang Baboy na may Sarsa ng Bawang</t>
  </si>
  <si>
    <t>Irisan Babi dengan Saus Bawang Putih</t>
  </si>
  <si>
    <t>茄子凍</t>
  </si>
  <si>
    <t>Chilled Eggplant</t>
  </si>
  <si>
    <t>Pinalamig na Talong</t>
  </si>
  <si>
    <t>Terung Dingin</t>
  </si>
  <si>
    <t>Chicken with Sichuan Pepper</t>
  </si>
  <si>
    <t>Manok na may Pamintang Sichuan</t>
  </si>
  <si>
    <t>Ayam dengan Lada Sichuan</t>
  </si>
  <si>
    <t>南瓜餅</t>
  </si>
  <si>
    <t>Pumpkin Cakes</t>
  </si>
  <si>
    <t>Mga Kakaning Kalabasa</t>
  </si>
  <si>
    <t>Kue Labu</t>
  </si>
  <si>
    <t>燜釀豆腐泡</t>
  </si>
  <si>
    <t>Braised Stuffed Tofu Puffs</t>
  </si>
  <si>
    <t>Nilagang Pinalamanang Pritong Tokwa</t>
  </si>
  <si>
    <t>Tahu Pong Isi Masak Semur</t>
  </si>
  <si>
    <t>梅子薯蓉釀豆卜</t>
  </si>
  <si>
    <t>Tofu Puffs Stuffed with Plum and Mashed Potato</t>
  </si>
  <si>
    <t>Pritong Tokwa na Pinalamanan ng Plum at Niligis na Patatas</t>
  </si>
  <si>
    <t>Tahu Pong Isi Plum dan Kentang Tumbuk</t>
  </si>
  <si>
    <t>紅油抄手</t>
  </si>
  <si>
    <t>Wontons in Chili Oil</t>
  </si>
  <si>
    <t>Wonton sa Langis ng Sili</t>
  </si>
  <si>
    <t>Pangsit dengan Minyak Cabai</t>
  </si>
  <si>
    <t>粉葛紅蘿蔔赤小豆扁豆湯</t>
  </si>
  <si>
    <t>Kudzu Root, Carrot, Adzuki Bean and Hyacinth Bean Soup</t>
  </si>
  <si>
    <t>Sabaw ng Ugat ng Kudzu, Karot, Adzuki at Bataw</t>
  </si>
  <si>
    <t>Sup Akar Kudzu, Wortel, Kacang Adzuki dan Kacang Komak</t>
  </si>
  <si>
    <t>金銀菜湯</t>
  </si>
  <si>
    <t>Fresh and Dried Chinese Cabbage Soup</t>
  </si>
  <si>
    <t>Sabaw ng Sariwa at Tuyong Chinese Cabbage</t>
  </si>
  <si>
    <t>Sup Sawi Putih Segar dan Kering</t>
  </si>
  <si>
    <t>金菇肥牛卷</t>
  </si>
  <si>
    <t>Fatty Beef Rolls with Enoki Mushrooms</t>
  </si>
  <si>
    <t>Rolyo ng Matabang Baka na may Kabuteng Enoki</t>
  </si>
  <si>
    <t>Gulungan Daging Sapi Berlemak Isi Jamur Enoki</t>
  </si>
  <si>
    <t>吞拿魚秋葵沙律</t>
  </si>
  <si>
    <t>Tuna and Okra Salad</t>
  </si>
  <si>
    <t>Salad ng Tuna at Okra</t>
  </si>
  <si>
    <t>Salad Tuna dan Okra</t>
  </si>
  <si>
    <t>日式梳乎厘班戟</t>
  </si>
  <si>
    <t>Japanese Soufflé Pancakes</t>
  </si>
  <si>
    <t>Japanese Soufflé Pancake</t>
  </si>
  <si>
    <t>Panekuk Soufflé Jepang</t>
  </si>
  <si>
    <t>牛丼</t>
  </si>
  <si>
    <t>Beef Rice Bowl</t>
  </si>
  <si>
    <t>Kanin na may Baka sa Mangkok</t>
  </si>
  <si>
    <t>Nasi Mangkuk Daging Sapi</t>
  </si>
  <si>
    <t>關東煮</t>
  </si>
  <si>
    <t>Oden</t>
  </si>
  <si>
    <t>日式拿玻里意粉</t>
  </si>
  <si>
    <t>Japanese Napolitan Spaghetti</t>
  </si>
  <si>
    <t>Spageti Napolitan Jepang</t>
  </si>
  <si>
    <t>茶漬飯</t>
  </si>
  <si>
    <t>Rice in Tea Broth</t>
  </si>
  <si>
    <t>Kanin sa Sabaw ng Tsaa</t>
  </si>
  <si>
    <t>Nasi dengan Kuah Teh</t>
  </si>
  <si>
    <t>夏野菜之燒浸</t>
  </si>
  <si>
    <t>Grilled Summer Vegetables Soaked in Broth</t>
  </si>
  <si>
    <t>Inihaw na Gulay sa Tag-init na Ibinabad sa Sabaw</t>
  </si>
  <si>
    <t>Sayuran Musim Panas Panggang Rendam Kaldu</t>
  </si>
  <si>
    <t>豆腐沙律</t>
  </si>
  <si>
    <t>Tofu Salad</t>
  </si>
  <si>
    <t>Salad ng Tokwa</t>
  </si>
  <si>
    <t>Salad Tahu</t>
  </si>
  <si>
    <t>日式冷麵</t>
  </si>
  <si>
    <t>Japanese Cold Noodles</t>
  </si>
  <si>
    <t>Malamig na Noodles na Estilong Hapones</t>
  </si>
  <si>
    <t>Mi Dingin ala Jepang</t>
  </si>
  <si>
    <t>芒果素鰻壽司</t>
  </si>
  <si>
    <t>Mango and Vegetarian Eel Sushi</t>
  </si>
  <si>
    <t>Sushi na may Mangga at Vegetarian na Igat</t>
  </si>
  <si>
    <t>Sushi Mangga dan Belut Vegetarian</t>
  </si>
  <si>
    <t>沙嗲串</t>
  </si>
  <si>
    <t>Satay Skewers</t>
  </si>
  <si>
    <t>Mga Tuhog na Satay</t>
  </si>
  <si>
    <t>Sate</t>
  </si>
  <si>
    <t>素沙嗲串</t>
  </si>
  <si>
    <t>Vegetarian Satay Skewers</t>
  </si>
  <si>
    <t>Mga Tuhog na Vegetarian Satay</t>
  </si>
  <si>
    <t>Sate Vegetarian</t>
  </si>
  <si>
    <t>印度奶油雞</t>
  </si>
  <si>
    <t>Indian Butter Chicken</t>
  </si>
  <si>
    <t>Ayam Mentega India</t>
  </si>
  <si>
    <t>水牛蘑菇</t>
  </si>
  <si>
    <t>Buffalo-style Mushrooms</t>
  </si>
  <si>
    <t>Kabute na Estilong Buffalo</t>
  </si>
  <si>
    <t>Jamur ala Buffalo</t>
  </si>
  <si>
    <t>「水牛」按 Buffalo-style 菜式名稱處理，不譯成水牛肉。</t>
  </si>
  <si>
    <t>牛奶凍</t>
  </si>
  <si>
    <t>Milk Pudding</t>
  </si>
  <si>
    <t>Puding na Gatas</t>
  </si>
  <si>
    <t>Puding Susu</t>
  </si>
  <si>
    <t>白奶油燉雞扒</t>
  </si>
  <si>
    <t>Chicken Steak in Cream Sauce</t>
  </si>
  <si>
    <t>Chicken Steak na Nilaga sa Sarsang Cream</t>
  </si>
  <si>
    <t>Steik Ayam Rebus Saus Krim</t>
  </si>
  <si>
    <t>牛油果西多士</t>
  </si>
  <si>
    <t>Hong Kong-style French Toast with Avocado</t>
  </si>
  <si>
    <t>Hong Kong-style French Toast na may Abokado</t>
  </si>
  <si>
    <t>French Toast ala Hong Kong dengan Alpukat</t>
  </si>
  <si>
    <t>焗芝士肉醬薯仔批</t>
  </si>
  <si>
    <t>Baked Potato Pie with Meat Sauce and Cheese</t>
  </si>
  <si>
    <t>Inihurnong Potato Pie na may Sarsang Karne at Keso</t>
  </si>
  <si>
    <t>Pai Kentang Panggang dengan Saus Daging dan Keju</t>
  </si>
  <si>
    <t>芝士三文治</t>
  </si>
  <si>
    <t>Cheese Sandwich</t>
  </si>
  <si>
    <t>Sandwich na Keso</t>
  </si>
  <si>
    <t>Roti Lapis Keju</t>
  </si>
  <si>
    <t>蕃茄青口</t>
  </si>
  <si>
    <t>Mussels with Tomatoes</t>
  </si>
  <si>
    <t>Tahong na may Kamatis</t>
  </si>
  <si>
    <t>Kerang Hijau dengan Tomat</t>
  </si>
  <si>
    <t>泰式豬排</t>
  </si>
  <si>
    <t>Thai-style Pork Chops</t>
  </si>
  <si>
    <t>Pork Chop na Estilong Thai</t>
  </si>
  <si>
    <t>Potongan Babi ala Thailand</t>
  </si>
  <si>
    <t>洋葱湯</t>
  </si>
  <si>
    <t>Onion Soup</t>
  </si>
  <si>
    <t>Sabaw ng Sibuyas</t>
  </si>
  <si>
    <t>Sup Bawang Bombai</t>
  </si>
  <si>
    <t>羊架</t>
  </si>
  <si>
    <t>Rack of Lamb</t>
  </si>
  <si>
    <t>Tadyang ng Tupa</t>
  </si>
  <si>
    <t>Iga Domba</t>
  </si>
  <si>
    <t>雞蛋薯仔沙律</t>
  </si>
  <si>
    <t>Egg and Potato Salad</t>
  </si>
  <si>
    <t>Salad ng Itlog at Patatas</t>
  </si>
  <si>
    <t>Salad Telur dan Kentang</t>
  </si>
  <si>
    <t>墨西哥芝士餡餅</t>
  </si>
  <si>
    <t>Mexican Cheese Quesadilla</t>
  </si>
  <si>
    <t>Quesadilla na Keso</t>
  </si>
  <si>
    <t>Quesadilla Keju Meksiko</t>
  </si>
  <si>
    <t>白汁芝士焗菠菜薯仔</t>
  </si>
  <si>
    <t>Baked Spinach and Potatoes with White Sauce and Cheese</t>
  </si>
  <si>
    <t>Inihurnong Espinaka at Patatas na may Puting Sarsa at Keso</t>
  </si>
  <si>
    <t>Bayam dan Kentang Panggang Saus Putih dan Keju</t>
  </si>
  <si>
    <t>純素香蕉pancake</t>
  </si>
  <si>
    <t>Vegan Banana Pancakes</t>
  </si>
  <si>
    <t>Vegan na Pancake na Saging</t>
  </si>
  <si>
    <t>Panekuk Pisang Vegan</t>
  </si>
  <si>
    <t>香蕉pancake</t>
  </si>
  <si>
    <t>Banana Pancakes</t>
  </si>
  <si>
    <t>Pancake na Saging</t>
  </si>
  <si>
    <t>Panekuk Pisang</t>
  </si>
  <si>
    <t>Yogurt</t>
  </si>
  <si>
    <t>Yoghurt</t>
  </si>
  <si>
    <t>牧羊人派</t>
  </si>
  <si>
    <t>Shepherd's Pie</t>
  </si>
  <si>
    <t>Pai Gembala</t>
  </si>
  <si>
    <t>奶油南瓜野菇飯</t>
  </si>
  <si>
    <t>Creamy Pumpkin and Wild Mushroom Rice</t>
  </si>
  <si>
    <t>Kanin na may Cream, Kalabasa at Ligaw na Kabute</t>
  </si>
  <si>
    <t>Nasi Krim Labu dan Jamur Liar</t>
  </si>
  <si>
    <t>酸麵包法式吐司</t>
  </si>
  <si>
    <t>Sourdough French Toast</t>
  </si>
  <si>
    <t>French Toast na Gawa sa Sourdough</t>
  </si>
  <si>
    <t>French Toast Roti Sourdough</t>
  </si>
  <si>
    <t>香草爆米花</t>
  </si>
  <si>
    <t>Herb Popcorn</t>
  </si>
  <si>
    <t>Popcorn na may mga Herb</t>
  </si>
  <si>
    <t>Popcorn Herba</t>
  </si>
  <si>
    <t>雞蛋多士棒</t>
  </si>
  <si>
    <t>Egg Toast Sticks</t>
  </si>
  <si>
    <t>Mga Stick ng Toast na may Itlog</t>
  </si>
  <si>
    <t>Stik Roti Panggang Telur</t>
  </si>
  <si>
    <t>意大利青瓜薯仔煎餅配酸忌廉醬</t>
  </si>
  <si>
    <t>Italian Cucumber and Potato Pancakes with Sour Cream Sauce</t>
  </si>
  <si>
    <t>Italian na Pancake na Pipino at Patatas na may Sarsang Sour Cream</t>
  </si>
  <si>
    <t>Panekuk Mentimun dan Kentang Italia dengan Saus Krim Asam</t>
  </si>
  <si>
    <t>照原文以 Italian cucumber 翻譯「意大利青瓜」，未自行改寫成櫛瓜。</t>
  </si>
  <si>
    <t>焗迷你pizza</t>
  </si>
  <si>
    <t>Baked Mini Pizzas</t>
  </si>
  <si>
    <t>Inihurnong Mini Pizza</t>
  </si>
  <si>
    <t>Piza Mini Panggang</t>
  </si>
  <si>
    <t>薯蓉焗雜菜</t>
  </si>
  <si>
    <t>Baked Mixed Vegetables with Mashed Potato</t>
  </si>
  <si>
    <t>Inihurnong Halo-halong Gulay na may Niligis na Patatas</t>
  </si>
  <si>
    <t>Sayuran Campur Panggang dengan Kentang Tumbuk</t>
  </si>
  <si>
    <t>白菌薯仔素肉批</t>
  </si>
  <si>
    <t>White Mushroom, Potato and Vegetarian Meat Pie</t>
  </si>
  <si>
    <t>Pie na may Puting Kabute, Patatas at Vegetarian na Karne</t>
  </si>
  <si>
    <t>Pai Jamur Putih, Kentang dan Daging Vegetarian</t>
  </si>
  <si>
    <t>Pan-fried Beef Steak</t>
  </si>
  <si>
    <t>Pinritong Beef Steak</t>
  </si>
  <si>
    <t>Steik Sapi Goreng Wajan</t>
  </si>
  <si>
    <t>薯仔沙律蛋包</t>
  </si>
  <si>
    <t>Potato Salad Omelette</t>
  </si>
  <si>
    <t>Omelette na may Palamang Potato Salad</t>
  </si>
  <si>
    <t>Omelet Isi Salad Kentang</t>
  </si>
  <si>
    <t>素羅宋湯</t>
  </si>
  <si>
    <t>Vegetarian Borscht</t>
  </si>
  <si>
    <t>Vegetarian na Borscht</t>
  </si>
  <si>
    <t>Borscht Vegetarian</t>
  </si>
  <si>
    <t>焗葡汁白菌豆腐飯</t>
  </si>
  <si>
    <t>Baked Rice with White Mushrooms and Tofu in Portuguese-style Sauce</t>
  </si>
  <si>
    <t>Inihurnong Kanin na may Puting Kabute at Tokwa sa Sarsang Portuges</t>
  </si>
  <si>
    <t>Nasi Panggang Jamur Putih dan Tahu dengan Saus ala Portugis</t>
  </si>
  <si>
    <t>紫薯布甸</t>
  </si>
  <si>
    <t>Purple Sweet Potato Pudding</t>
  </si>
  <si>
    <t>Puding na Kamoteng Lila</t>
  </si>
  <si>
    <t>Puding Ubi Ungu</t>
  </si>
  <si>
    <t>椰汁燉芋頭</t>
  </si>
  <si>
    <t>Taro Stewed in Coconut Milk</t>
  </si>
  <si>
    <t>Gabi na Nilaga sa Gata</t>
  </si>
  <si>
    <t>Talas Rebus Santan</t>
  </si>
  <si>
    <t>薯仔白咖喱</t>
  </si>
  <si>
    <t>Potato White Curry</t>
  </si>
  <si>
    <t>Puting Curry na Patatas</t>
  </si>
  <si>
    <t>Kari Putih Kentang</t>
  </si>
  <si>
    <t>豆泥咖喱</t>
  </si>
  <si>
    <t>Mashed Bean Curry</t>
  </si>
  <si>
    <t>Curry ng Niligis na Beans</t>
  </si>
  <si>
    <t>Kari Kacang Tumbuk</t>
  </si>
  <si>
    <t>打拋豬</t>
  </si>
  <si>
    <t>Thai Holy Basil Pork</t>
  </si>
  <si>
    <t>Baboy na may Balanoy na Thai</t>
  </si>
  <si>
    <t>Babi Tumis Kemangi Suci Thailand</t>
  </si>
  <si>
    <t>泰式魚餅</t>
  </si>
  <si>
    <t>Thai Fish Cakes</t>
  </si>
  <si>
    <t>Thai na Fish Cake</t>
  </si>
  <si>
    <t>Perkedel Ikan ala Thailand</t>
  </si>
  <si>
    <t>泰式豬頸肉</t>
  </si>
  <si>
    <t>Thai-style Pork Neck</t>
  </si>
  <si>
    <t>Leeg ng Baboy na Estilong Thai</t>
  </si>
  <si>
    <t>Daging Leher Babi ala Thailand</t>
  </si>
  <si>
    <t>清冬蔭公湯</t>
  </si>
  <si>
    <t>Clear Tom Yum Shrimp Soup</t>
  </si>
  <si>
    <t>Malinaw na Sabaw na Tom Yum na Hipon</t>
  </si>
  <si>
    <t>Sup Tom Yum Udang Kuah Bening</t>
  </si>
  <si>
    <t>椰青木瓜果凍</t>
  </si>
  <si>
    <t>Young Coconut and Papaya Jelly</t>
  </si>
  <si>
    <t>Gulaman na Buko at Papaya</t>
  </si>
  <si>
    <t>Jeli Kelapa Muda dan Pepaya</t>
  </si>
  <si>
    <t>米紙蛋餅</t>
  </si>
  <si>
    <t>Rice Paper Egg Pancake</t>
  </si>
  <si>
    <t>Pancake na Itlog sa Rice Paper</t>
  </si>
  <si>
    <t>Dadar Telur Kulit Kertas Beras</t>
  </si>
  <si>
    <t>越南米紙卷</t>
  </si>
  <si>
    <t>Vietnamese Rice Paper Rolls</t>
  </si>
  <si>
    <t>Vietnamese na Rolyo sa Rice Paper</t>
  </si>
  <si>
    <t>Lumpia Kertas Beras Vietnam</t>
  </si>
  <si>
    <t>韓式飯卷</t>
  </si>
  <si>
    <t>Korean Rice Rolls</t>
  </si>
  <si>
    <t>Korean na Rolyo ng Kanin</t>
  </si>
  <si>
    <t>Gulungan Nasi Korea</t>
  </si>
  <si>
    <t>韓式炒冬粉</t>
  </si>
  <si>
    <t>Korean Stir-fried Glass Noodles</t>
  </si>
  <si>
    <t>Korean na Ginisang Sotanghon</t>
  </si>
  <si>
    <t>Soun Tumis ala Korea</t>
  </si>
  <si>
    <t>韓式雜菜拌飯</t>
  </si>
  <si>
    <t>Korean Mixed Vegetable Rice</t>
  </si>
  <si>
    <t>Korean na Kanin na Hinaluan ng Gulay</t>
  </si>
  <si>
    <t>Nasi Campur Sayuran ala Korea</t>
  </si>
  <si>
    <t>Pinritong Isda</t>
  </si>
  <si>
    <t>Ikan Goreng Wajan</t>
  </si>
  <si>
    <t>烚粟米</t>
  </si>
  <si>
    <t>Boiled Corn</t>
  </si>
  <si>
    <t>Nilagang Mais</t>
  </si>
  <si>
    <t>Jagung Rebus</t>
  </si>
  <si>
    <t>烚蛋</t>
  </si>
  <si>
    <t>Boiled Eggs</t>
  </si>
  <si>
    <t>Nilagang Itlog</t>
  </si>
  <si>
    <t>Telur Rebus</t>
  </si>
  <si>
    <t>豬肉碎粥</t>
  </si>
  <si>
    <t>Minced Pork Congee</t>
  </si>
  <si>
    <t>Lugaw na may Giniling na Baboy</t>
  </si>
  <si>
    <t>Bubur Babi Cincang</t>
  </si>
  <si>
    <t>日式飯團</t>
  </si>
  <si>
    <t>Japanese Rice Balls</t>
  </si>
  <si>
    <t>Japanese na Bola-bolang Kanin</t>
  </si>
  <si>
    <t>Bola Nasi Jepang</t>
  </si>
  <si>
    <t>麥皮</t>
  </si>
  <si>
    <t>Oatmeal</t>
  </si>
  <si>
    <t>Lugaw na Oats</t>
  </si>
  <si>
    <t>Bubur Oat</t>
  </si>
  <si>
    <t>烚番薯</t>
  </si>
  <si>
    <t>Boiled Sweet Potato</t>
  </si>
  <si>
    <t>Nilagang Kamote</t>
  </si>
  <si>
    <t>Ubi Jalar Rebus</t>
  </si>
  <si>
    <t>煎蛋</t>
  </si>
  <si>
    <t>Fried Eggs</t>
  </si>
  <si>
    <t>Pritong Itlog</t>
  </si>
  <si>
    <t>Telur Goreng</t>
  </si>
  <si>
    <t>香蕉</t>
  </si>
  <si>
    <t>Banana</t>
  </si>
  <si>
    <t>Saging</t>
  </si>
  <si>
    <t>Pisang</t>
  </si>
  <si>
    <t>無糖豆漿</t>
  </si>
  <si>
    <t>Unsweetened Soy Milk</t>
  </si>
  <si>
    <t>Gatas na Soya na Walang Asukal</t>
  </si>
  <si>
    <t>Susu Kedelai Tanpa Gula</t>
  </si>
  <si>
    <t>饅頭</t>
  </si>
  <si>
    <t>Steamed Buns</t>
  </si>
  <si>
    <t>Pinasingawang Tinapay</t>
  </si>
  <si>
    <t>Mantou Kukus</t>
  </si>
  <si>
    <t>烚菜</t>
  </si>
  <si>
    <t>Boiled Vegetables</t>
  </si>
  <si>
    <t>Nilagang Gulay</t>
  </si>
  <si>
    <t>Sayuran Rebus</t>
  </si>
  <si>
    <t>炒菜</t>
  </si>
  <si>
    <t>Stir-fried Vegetables</t>
  </si>
  <si>
    <t>Ginisang Gulay</t>
  </si>
  <si>
    <t>Sayuran Tumis</t>
  </si>
  <si>
    <t>粢飯</t>
  </si>
  <si>
    <t>Glutinous Rice Roll</t>
  </si>
  <si>
    <t>Rolyo ng Malagkit na Kanin</t>
  </si>
  <si>
    <t>Gulungan Nasi Ketan</t>
  </si>
  <si>
    <t>炒麵</t>
  </si>
  <si>
    <t>Stir-fried Noodles</t>
  </si>
  <si>
    <t>Ginisang Noodles</t>
  </si>
  <si>
    <t>Mi Goreng</t>
  </si>
  <si>
    <t>果仁</t>
  </si>
  <si>
    <t>Nuts</t>
  </si>
  <si>
    <t>Mga Mani at Ibang Nut</t>
  </si>
  <si>
    <t>Kacang-kacangan</t>
  </si>
  <si>
    <t>All day breakfast</t>
  </si>
  <si>
    <t>All-day Breakfast</t>
  </si>
  <si>
    <t>Almusal para sa Buong Araw</t>
  </si>
  <si>
    <t>Sarapan Sepanjang Hari</t>
  </si>
  <si>
    <t>薯蓉</t>
  </si>
  <si>
    <t>Mashed Potato</t>
  </si>
  <si>
    <t>Niligis na Patatas</t>
  </si>
  <si>
    <t>Kentang Tumbuk</t>
  </si>
  <si>
    <t>南瓜濃湯</t>
  </si>
  <si>
    <t>Creamy Pumpkin Soup</t>
  </si>
  <si>
    <t>Malapot na Sabaw ng Kalabasa</t>
  </si>
  <si>
    <t>Sup Krim Labu</t>
  </si>
  <si>
    <t>Pinasingawang Isda</t>
  </si>
  <si>
    <t>Ikan Kukus</t>
  </si>
  <si>
    <t>乾煎大蝦</t>
  </si>
  <si>
    <t>Pan-seared Prawns</t>
  </si>
  <si>
    <t>Hipon na Pinirito sa Kaunting Mantika</t>
  </si>
  <si>
    <t>Udang Besar Goreng Wajan</t>
  </si>
  <si>
    <t>油鹽水絲瓜花甲</t>
  </si>
  <si>
    <t>Luffa and Clams in Oil-and-salt Broth</t>
  </si>
  <si>
    <t>Patola at Tulya sa Sabaw na may Mantika at Asin</t>
  </si>
  <si>
    <t>Oyong dan Kerang dalam Kuah Minyak dan Garam</t>
  </si>
  <si>
    <t>Steamed Tofu and Scallops in Black Bean Sauce</t>
  </si>
  <si>
    <t>Pinasingawang Tokwa at Scallop sa Sarsang Tausi</t>
  </si>
  <si>
    <t>Tahu dan Kerang Simping Kukus Saus Kacang Hitam Fermentasi</t>
  </si>
  <si>
    <t>香茅蝦棒</t>
  </si>
  <si>
    <t>Lemongrass Shrimp Sticks</t>
  </si>
  <si>
    <t>Mga Stick ng Hipon na may Tanglad</t>
  </si>
  <si>
    <t>Stik Udang Serai</t>
  </si>
  <si>
    <t>金銀蒜蒸開邊蝦</t>
  </si>
  <si>
    <t>Steamed Split Prawns with Fresh and Fried Garlic</t>
  </si>
  <si>
    <t>Pinasingawang Binukang Hipon na may Sariwa at Pritong Bawang</t>
  </si>
  <si>
    <t>Udang Belah Kukus dengan Bawang Putih Segar dan Goreng</t>
  </si>
  <si>
    <t>味噌湯</t>
  </si>
  <si>
    <t>Miso Soup</t>
  </si>
  <si>
    <t>Sabaw na Miso</t>
  </si>
  <si>
    <t>Sup Miso</t>
  </si>
  <si>
    <t>陳皮蒸鮑魚</t>
  </si>
  <si>
    <t>Steamed Abalone with Dried Tangerine Peel</t>
  </si>
  <si>
    <t>Pinasingawang Abalone na may Tuyong Balat ng Dalandan</t>
  </si>
  <si>
    <t>Abalon Kukus dengan Kulit Jeruk Mandarin Kering</t>
  </si>
  <si>
    <t>Soy Sauce Pan-fried Prawns on Rice Noodle Rolls</t>
  </si>
  <si>
    <t>Pritong Hipon sa Toyo sa Ibabaw ng Rice Noodle Rolls</t>
  </si>
  <si>
    <t>Udang Goreng Kecap di atas Gulungan Mi Beras</t>
  </si>
  <si>
    <t>煎餃子</t>
  </si>
  <si>
    <t>Pan-fried Dumplings</t>
  </si>
  <si>
    <t>Pinritong Dumpling</t>
  </si>
  <si>
    <t>Pangsit Goreng Wajan</t>
  </si>
  <si>
    <t>苦瓜炒蛋</t>
  </si>
  <si>
    <t>Stir-fried Bitter Melon with Eggs</t>
  </si>
  <si>
    <t>Ginisang Ampalaya na may Itlog</t>
  </si>
  <si>
    <t>Pare Tumis Telur</t>
  </si>
  <si>
    <t>蕃茄炒蛋</t>
  </si>
  <si>
    <t>Stir-fried Tomatoes with Eggs</t>
  </si>
  <si>
    <t>Ginisang Kamatis na may Itlog</t>
  </si>
  <si>
    <t>Tomat Tumis Telur</t>
  </si>
  <si>
    <t>煎釀青椒</t>
  </si>
  <si>
    <t>Pan-fried Stuffed Green Peppers</t>
  </si>
  <si>
    <t>Pinritong Pinalamanang Berdeng Sili</t>
  </si>
  <si>
    <t>Paprika Hijau Isi Goreng Wajan</t>
  </si>
  <si>
    <t>茶碗蒸</t>
  </si>
  <si>
    <t>Japanese Steamed Egg Custard</t>
  </si>
  <si>
    <t>Japanese na Pinasingawang Itlog</t>
  </si>
  <si>
    <t>Telur Kukus Jepang</t>
  </si>
  <si>
    <t>玉子燒</t>
  </si>
  <si>
    <t>Japanese Rolled Omelette</t>
  </si>
  <si>
    <t>Japanese na Nirolyong Omelette</t>
  </si>
  <si>
    <t>Telur Dadar Gulung Jepang</t>
  </si>
  <si>
    <t>蜜糖雞翼</t>
  </si>
  <si>
    <t>Pakpak ng Manok na may Pulot</t>
  </si>
  <si>
    <t>Sayap Ayam Madu</t>
  </si>
  <si>
    <t>炒蛋</t>
  </si>
  <si>
    <t>Scrambled Eggs</t>
  </si>
  <si>
    <t>Binatil na Itlog</t>
  </si>
  <si>
    <t>Telur Orak-arik</t>
  </si>
  <si>
    <t>Gatas</t>
  </si>
  <si>
    <t>Pan-fried Pork Chops</t>
  </si>
  <si>
    <t>Pinritong Pork Chop</t>
  </si>
  <si>
    <t>Potongan Babi Goreng Wajan</t>
  </si>
  <si>
    <t>煎雞排</t>
  </si>
  <si>
    <t>Pan-fried Chicken Steak</t>
  </si>
  <si>
    <t>Pinritong Chicken Steak</t>
  </si>
  <si>
    <t>Steik Ayam Goreng Wajan</t>
  </si>
  <si>
    <t>小番茄</t>
  </si>
  <si>
    <t>Cherry Tomatoes</t>
  </si>
  <si>
    <t>Cherry Tomato</t>
  </si>
  <si>
    <t>Tomat Ceri</t>
  </si>
  <si>
    <t>火龍果</t>
  </si>
  <si>
    <t>Dragon Fruit</t>
  </si>
  <si>
    <t>Buah Naga</t>
  </si>
  <si>
    <t>奇異果</t>
  </si>
  <si>
    <t>Kiwi Fruit</t>
  </si>
  <si>
    <t>Kiwi</t>
  </si>
  <si>
    <t>Buah Kiwi</t>
  </si>
  <si>
    <t>木瓜</t>
  </si>
  <si>
    <t>Pepaya</t>
  </si>
  <si>
    <t>藍苺</t>
  </si>
  <si>
    <t>Blueberries</t>
  </si>
  <si>
    <t>Blueberry</t>
  </si>
  <si>
    <t>Bluberi</t>
  </si>
  <si>
    <t>水煎蔬菜</t>
  </si>
  <si>
    <t>Water-sautéed Vegetables</t>
  </si>
  <si>
    <t>Gulay na Ginisa sa Tubig</t>
  </si>
  <si>
    <t>Sayuran Tumis Air</t>
  </si>
  <si>
    <t>蘋果烤蛋奶</t>
  </si>
  <si>
    <t>Baked Apple Egg Custard</t>
  </si>
  <si>
    <t>Inihurnong Custard na may Mansanas</t>
  </si>
  <si>
    <t>Kustar Telur Apel Panggang</t>
  </si>
  <si>
    <t>水果吐司捲</t>
  </si>
  <si>
    <t>Fruit Toast Rolls</t>
  </si>
  <si>
    <t>Rolyo ng Toast na may Prutas</t>
  </si>
  <si>
    <t>Gulungan Roti Panggang Isi Buah</t>
  </si>
  <si>
    <t>烚蝦仁</t>
  </si>
  <si>
    <t>Boiled Shelled Shrimp</t>
  </si>
  <si>
    <t>Nilagang Binalatang Hipon</t>
  </si>
  <si>
    <t>Udang Kupas Rebus</t>
  </si>
  <si>
    <t>Waffle</t>
  </si>
  <si>
    <t>Wafel</t>
  </si>
  <si>
    <t>烚雞胸條</t>
  </si>
  <si>
    <t>Boiled Chicken Breast Strips</t>
  </si>
  <si>
    <t>Nilagang Piraso ng Dibdib ng Manok</t>
  </si>
  <si>
    <t>Irisan Dada Ayam Rebus</t>
  </si>
  <si>
    <t>窩蛋牛肉煲仔飯</t>
  </si>
  <si>
    <t>Claypot Beef Rice with an Egg</t>
  </si>
  <si>
    <t>Kanin sa Palayok na may Baka at Itlog</t>
  </si>
  <si>
    <t>Nasi Panci Tanah Liat dengan Sapi dan Telur</t>
  </si>
  <si>
    <t>油煎豆腐</t>
  </si>
  <si>
    <t>Pan-fried Tofu</t>
  </si>
  <si>
    <t>Pinritong Tokwa</t>
  </si>
  <si>
    <t>Tahu Goreng Wajan</t>
  </si>
  <si>
    <t>紙包金針菇</t>
  </si>
  <si>
    <t>Enoki Mushrooms Cooked in a Paper Parcel</t>
  </si>
  <si>
    <t>Kabuteng Enoki na Niluto sa Balot na Papel</t>
  </si>
  <si>
    <t>Jamur Enoki Masak Bungkus Kertas</t>
  </si>
  <si>
    <t>蕃薯薑糖水</t>
  </si>
  <si>
    <t>Sweet Potato and Ginger Sweet Soup</t>
  </si>
  <si>
    <t>Matamis na Sabaw ng Kamote at Luya</t>
  </si>
  <si>
    <t>Sup Manis Ubi Jalar dan Jahe</t>
  </si>
  <si>
    <t>Panghimagas na Mangga, Suha at Sago</t>
  </si>
  <si>
    <t>Hidangan Penutup Mangga, Jeruk Bali dan Sagu</t>
  </si>
  <si>
    <t>三絲炒米粉</t>
  </si>
  <si>
    <t>Stir-fried Rice Vermicelli with Three Shredded Ingredients</t>
  </si>
  <si>
    <t>Ginisang Bihon na may Tatlong Uri ng Hiniwang Sangkap</t>
  </si>
  <si>
    <t>Bihun Goreng dengan Tiga Bahan Iris</t>
  </si>
  <si>
    <t>原文未列三絲材料，譯文亦不指定。</t>
  </si>
  <si>
    <t>養生猴頭菇湯</t>
  </si>
  <si>
    <t>Wellness Lion's Mane Mushroom Soup</t>
  </si>
  <si>
    <t>Sabaw na Pampalusog na may Kabuteng Lion's Mane</t>
  </si>
  <si>
    <t>Sup Kesehatan Jamur Surai Singa</t>
  </si>
  <si>
    <t>辣白菜豆腐湯</t>
  </si>
  <si>
    <t>Spicy Cabbage and Tofu Soup</t>
  </si>
  <si>
    <t>Sabaw ng Maanghang na Repolyo at Tokwa</t>
  </si>
  <si>
    <t>Sup Sawi Pedas dan Tahu</t>
  </si>
  <si>
    <t>合掌瓜茶樹菇淮山腰果湯</t>
  </si>
  <si>
    <t>Chayote, Tea Tree Mushroom, Chinese Yam and Cashew Soup</t>
  </si>
  <si>
    <t>Sabaw ng Sayote, Kabuteng Tea Tree, Chinese Yam at Kasoy</t>
  </si>
  <si>
    <t>Sup Labu Siam, Jamur Tea Tree, Ubi Cina dan Kacang Mete</t>
  </si>
  <si>
    <t>素酸辣湯</t>
  </si>
  <si>
    <t>Vegetarian Hot and Sour Soup</t>
  </si>
  <si>
    <t>Vegetarian na Maasim at Maanghang na Sabaw</t>
  </si>
  <si>
    <t>Sup Asam Pedas Vegetarian</t>
  </si>
  <si>
    <t>琵琶豆腐</t>
  </si>
  <si>
    <t>Pipa-shaped Tofu</t>
  </si>
  <si>
    <t>Tokwang Hugis Pipa</t>
  </si>
  <si>
    <t>Tahu Bentuk Pipa</t>
  </si>
  <si>
    <t>梅菜素扣肉</t>
  </si>
  <si>
    <t>Vegetarian Pork Belly with Preserved Mustard Greens</t>
  </si>
  <si>
    <t>Vegetarian na Liempo na may Inasnan na Mustasa</t>
  </si>
  <si>
    <t>Samcan Vegetarian dengan Sawi Asin</t>
  </si>
  <si>
    <t>客家蒸釀苦瓜</t>
  </si>
  <si>
    <t>Hakka Steamed Stuffed Bitter Melon</t>
  </si>
  <si>
    <t>Pinasingawang Pinalamanang Ampalaya na Estilong Hakka</t>
  </si>
  <si>
    <t>Pare Isi Kukus ala Hakka</t>
  </si>
  <si>
    <t>越式酸辣豆腐雜菜湯</t>
  </si>
  <si>
    <t>Vietnamese Hot and Sour Tofu and Mixed Vegetable Soup</t>
  </si>
  <si>
    <t>Vietnamese na Maasim at Maanghang na Sabaw ng Tokwa at Gulay</t>
  </si>
  <si>
    <t>Sup Asam Pedas Tahu dan Sayuran Campur ala Vietnam</t>
  </si>
  <si>
    <t>牙車快(越式沙律)</t>
  </si>
  <si>
    <t>Ya Che Kuai (Vietnamese Salad)</t>
  </si>
  <si>
    <t>Ya Che Kuai (Vietnamese na Salad)</t>
  </si>
  <si>
    <t>Ya Che Kuai (Salad Vietnam)</t>
  </si>
  <si>
    <t>馬鈴薯味噌湯</t>
  </si>
  <si>
    <t>Potato Miso Soup</t>
  </si>
  <si>
    <t>Sabaw na Miso na may Patatas</t>
  </si>
  <si>
    <t>Sup Miso Kentang</t>
  </si>
  <si>
    <t>豬肉味噌湯</t>
  </si>
  <si>
    <t>Pork Miso Soup</t>
  </si>
  <si>
    <t>Sabaw na Miso na may Baboy</t>
  </si>
  <si>
    <t>Sup Miso Babi</t>
  </si>
  <si>
    <t>醃漬白泡菜</t>
  </si>
  <si>
    <t>Pickled White Kimchi</t>
  </si>
  <si>
    <t>Binurong Puting Kimchi</t>
  </si>
  <si>
    <t>Kimchi Putih Acar</t>
  </si>
  <si>
    <t>燉甜南瓜</t>
  </si>
  <si>
    <t>Stewed Sweet Pumpkin</t>
  </si>
  <si>
    <t>Nilagang Matamis na Kalabasa</t>
  </si>
  <si>
    <t>Labu Manis Rebus</t>
  </si>
  <si>
    <t>乾拌菠菜</t>
  </si>
  <si>
    <t>Tossed Spinach without Broth</t>
  </si>
  <si>
    <t>Hinalong Espinaka na Walang Sabaw</t>
  </si>
  <si>
    <t>Bayam Aduk Tanpa Kuah</t>
  </si>
  <si>
    <t>咖哩烏冬</t>
  </si>
  <si>
    <t>Curry Udon</t>
  </si>
  <si>
    <t>Udon Kari</t>
  </si>
  <si>
    <t>薯仔燉肉</t>
  </si>
  <si>
    <t>Stewed Meat with Potatoes</t>
  </si>
  <si>
    <t>Nilagang Karne na may Patatas</t>
  </si>
  <si>
    <t>Daging Rebus Kentang</t>
  </si>
  <si>
    <t>大阪燒</t>
  </si>
  <si>
    <t>Okonomiyaki</t>
  </si>
  <si>
    <t>香煎雞肉丸</t>
  </si>
  <si>
    <t>Pan-fried Chicken Meatballs</t>
  </si>
  <si>
    <t>Pinritong Bola-bolang Manok</t>
  </si>
  <si>
    <t>Bola Ayam Goreng Wajan</t>
  </si>
  <si>
    <t>黑蜜豆奶布丁</t>
  </si>
  <si>
    <t>Soy Milk Pudding with Dark Sugar Syrup</t>
  </si>
  <si>
    <t>Puding na Gatas na Soya na may Maitim na Arnibal</t>
  </si>
  <si>
    <t>Puding Susu Kedelai dengan Sirup Gula Gelap</t>
  </si>
  <si>
    <t>茄汁手工薯仔球</t>
  </si>
  <si>
    <t>Handmade Potato Balls in Tomato Sauce</t>
  </si>
  <si>
    <t>Gawang-kamay na Bola-bolang Patatas sa Sarsang Kamatis</t>
  </si>
  <si>
    <t>Bola Kentang Buatan Tangan Saus Tomat</t>
  </si>
  <si>
    <t>素咖喱飯</t>
  </si>
  <si>
    <t>Vegetarian Curry Rice</t>
  </si>
  <si>
    <t>Vegetarian na Kanin na may Curry</t>
  </si>
  <si>
    <t>Nasi Kari Vegetarian</t>
  </si>
  <si>
    <t>莓果香蕉杏仁奶昔</t>
  </si>
  <si>
    <t>Berry, Banana and Almond Milkshake</t>
  </si>
  <si>
    <t>Milkshake na Berry, Saging at Almendras</t>
  </si>
  <si>
    <t>Milkshake Beri, Pisang dan Almon</t>
  </si>
  <si>
    <t>花生醬椰漿天貝蓋飯</t>
  </si>
  <si>
    <t>Tempeh Rice Bowl with Peanut Butter and Coconut Milk</t>
  </si>
  <si>
    <t>Kanin sa Mangkok na may Tempeh, Peanut Butter at Gata</t>
  </si>
  <si>
    <t>Nasi Mangkuk Tempe dengan Selai Kacang dan Santan</t>
  </si>
  <si>
    <t>老少平安</t>
  </si>
  <si>
    <t>Steamed Tofu and Fish Paste</t>
  </si>
  <si>
    <t>Pinasingawang Tokwa at Dinurog na Isda</t>
  </si>
  <si>
    <t>Tahu Kukus dengan Adonan Ikan</t>
  </si>
  <si>
    <t>純素醬燒豆腐煲</t>
  </si>
  <si>
    <t>Vegan Tofu Casserole in Sauce</t>
  </si>
  <si>
    <t>Vegan na Tokwa sa Sarsa sa Palayok</t>
  </si>
  <si>
    <t>Tahu Vegan Masak Saus dalam Panci</t>
  </si>
  <si>
    <t>開心果芝士蛋糕</t>
  </si>
  <si>
    <t>Pistachio Cheesecake</t>
  </si>
  <si>
    <t>Kue Keju Pistacio</t>
  </si>
  <si>
    <t>鹽趜味噌燉菜</t>
  </si>
  <si>
    <t>Salt Koji and Miso Vegetable Stew</t>
  </si>
  <si>
    <t>Nilagang Gulay na may Salt Koji at Miso</t>
  </si>
  <si>
    <t>Sayuran Rebus Koji Garam dan Miso</t>
  </si>
  <si>
    <t>手撕杏鮑菇</t>
  </si>
  <si>
    <t>Hand-torn King Oyster Mushrooms</t>
  </si>
  <si>
    <t>Hinimay na Kabuteng King Oyster</t>
  </si>
  <si>
    <t>Jamur Tiram Raja Suwir</t>
  </si>
  <si>
    <t>客家風味炸豆腐</t>
  </si>
  <si>
    <t>Hakka-style Deep-fried Tofu</t>
  </si>
  <si>
    <t>Piniritong Tokwa na Estilong Hakka</t>
  </si>
  <si>
    <t>Tahu Goreng ala Hakka</t>
  </si>
  <si>
    <t>素螞蟻上樹</t>
  </si>
  <si>
    <t>Vegetarian Ants Climbing a Tree (Glass Noodles)</t>
  </si>
  <si>
    <t>Vegetarian na Ants Climbing a Tree (Sotanghon)</t>
  </si>
  <si>
    <t>Semut Memanjat Pohon Vegetarian (Soun)</t>
  </si>
  <si>
    <t>三杯豆腐</t>
  </si>
  <si>
    <t>Three-cup Tofu</t>
  </si>
  <si>
    <t>Three-cup na Tokwa</t>
  </si>
  <si>
    <t>Tahu Tiga Cangkir</t>
  </si>
  <si>
    <t>鷹嘴豆泥配全麥多士</t>
  </si>
  <si>
    <t>Hummus with Wholemeal Toast</t>
  </si>
  <si>
    <t>Hummus na may Whole-wheat Toast</t>
  </si>
  <si>
    <t>Hummus dengan Roti Gandum Utuh Panggang</t>
  </si>
  <si>
    <t>天貝全麥三文治</t>
  </si>
  <si>
    <t>Tempeh Wholemeal Sandwich</t>
  </si>
  <si>
    <t>Whole-wheat Sandwich na may Tempeh</t>
  </si>
  <si>
    <t>Roti Lapis Gandum Utuh Isi Tempe</t>
  </si>
  <si>
    <t>綠拿鐡高蛋白飲</t>
  </si>
  <si>
    <t>High-protein Green Latte</t>
  </si>
  <si>
    <t>Green Latte na Mataas sa Protina</t>
  </si>
  <si>
    <t>Latte Hijau Tinggi Protein</t>
  </si>
  <si>
    <t>花生醬蛋白棒</t>
  </si>
  <si>
    <t>Peanut Butter Protein Bars</t>
  </si>
  <si>
    <t>Protein Bar na Peanut Butter</t>
  </si>
  <si>
    <t>Batang Protein Selai Kacang</t>
  </si>
  <si>
    <t>堅果燕麥能量棒</t>
  </si>
  <si>
    <t>Nut and Oat Energy Bars</t>
  </si>
  <si>
    <t>Energy Bar na may Nuts at Oats</t>
  </si>
  <si>
    <t>Batang Energi Kacang dan Oat</t>
  </si>
  <si>
    <t>醬燒豆腐</t>
  </si>
  <si>
    <t>Tofu Braised in Sauce</t>
  </si>
  <si>
    <t>Tokwang Nilaga sa Sarsa</t>
  </si>
  <si>
    <t>Tahu Masak Saus</t>
  </si>
  <si>
    <t>蒜炒小芥菜</t>
  </si>
  <si>
    <t>Stir-fried Baby Mustard Greens with Garlic</t>
  </si>
  <si>
    <t>Ginisang Murang Mustasa na may Bawang</t>
  </si>
  <si>
    <t>Sawi Muda Tumis Bawang Putih</t>
  </si>
  <si>
    <t>蒜香蒸豬五花高麗菜</t>
  </si>
  <si>
    <t>Garlic Steamed Pork Belly and Cabbage</t>
  </si>
  <si>
    <t>Pinasingawang Liempo at Repolyo na may Bawang</t>
  </si>
  <si>
    <t>Samcan dan Kol Kukus Bawang Putih</t>
  </si>
  <si>
    <t>小青瓜炒肉末</t>
  </si>
  <si>
    <t>Stir-fried Baby Cucumber with Minced Meat</t>
  </si>
  <si>
    <t>Ginisang Maliit na Pipino na may Giniling na Karne</t>
  </si>
  <si>
    <t>Mentimun Muda Tumis Daging Cincang</t>
  </si>
  <si>
    <t>冬瓜肉燥</t>
  </si>
  <si>
    <t>Winter Melon with Minced Pork Sauce</t>
  </si>
  <si>
    <t>Kundol na may Sarsang Giniling na Baboy</t>
  </si>
  <si>
    <t>Labu Air dengan Saus Babi Cincang</t>
  </si>
  <si>
    <t>豆腐肉捲</t>
  </si>
  <si>
    <t>Tofu and Meat Rolls</t>
  </si>
  <si>
    <t>Rolyo ng Tokwa at Karne</t>
  </si>
  <si>
    <t>Gulungan Tahu dan Daging</t>
  </si>
  <si>
    <t>味噌松阪豬</t>
  </si>
  <si>
    <t>Miso Pork Jowl</t>
  </si>
  <si>
    <t>Pisngi ng Baboy na may Miso</t>
  </si>
  <si>
    <t>Pipi Babi Miso</t>
  </si>
  <si>
    <t>洋蔥炒豬肉</t>
  </si>
  <si>
    <t>Stir-fried Pork with Onions</t>
  </si>
  <si>
    <t>Ginisang Baboy na may Sibuyas</t>
  </si>
  <si>
    <t>Babi Tumis Bawang Bombai</t>
  </si>
  <si>
    <t>洋蔥燴腩排</t>
  </si>
  <si>
    <t>Braised Pork Belly Ribs with Onions</t>
  </si>
  <si>
    <t>Nilagang Tadyang at Liempo ng Baboy na may Sibuyas</t>
  </si>
  <si>
    <t>Iga Perut Babi Masak Bawang Bombai</t>
  </si>
  <si>
    <t>甜椒櫛瓜味噌豬五花</t>
  </si>
  <si>
    <t>Miso Pork Belly with Bell Peppers and Zucchini</t>
  </si>
  <si>
    <t>Liempo sa Miso na may Bell Pepper at Zucchini</t>
  </si>
  <si>
    <t>Samcan Miso dengan Paprika dan Zukini</t>
  </si>
  <si>
    <t>甜椒鑲肉</t>
  </si>
  <si>
    <t>Meat-stuffed Bell Peppers</t>
  </si>
  <si>
    <t>Bell Pepper na Pinalamanan ng Karne</t>
  </si>
  <si>
    <t>Paprika Isi Daging</t>
  </si>
  <si>
    <t>野菜炒豬肉</t>
  </si>
  <si>
    <t>Stir-fried Pork with Vegetables</t>
  </si>
  <si>
    <t>Ginisang Baboy na may Gulay</t>
  </si>
  <si>
    <t>Babi Tumis Sayuran</t>
  </si>
  <si>
    <t>蕃茄薯仔燉肋排</t>
  </si>
  <si>
    <t>Pork Ribs Stewed with Tomatoes and Potatoes</t>
  </si>
  <si>
    <t>Nilagang Tadyang ng Baboy na may Kamatis at Patatas</t>
  </si>
  <si>
    <t>Iga Babi Rebus Tomat dan Kentang</t>
  </si>
  <si>
    <t>嫩煎豬排</t>
  </si>
  <si>
    <t>Tender Pan-fried Pork Chops</t>
  </si>
  <si>
    <t>Malambot na Pinritong Pork Chop</t>
  </si>
  <si>
    <t>Potongan Babi Empuk Goreng Wajan</t>
  </si>
  <si>
    <t>蒜苗蘿蔔燉肉</t>
  </si>
  <si>
    <t>Meat Stewed with Garlic Shoots and Radish</t>
  </si>
  <si>
    <t>Nilagang Karne na may Usbong ng Bawang at Labanos</t>
  </si>
  <si>
    <t>Daging Rebus Tunas Bawang dan Lobak</t>
  </si>
  <si>
    <t>蒜香醬油薄骨嫩肩排</t>
  </si>
  <si>
    <t>Thin-bone Tender Pork Shoulder Chops with Garlic and Soy Sauce</t>
  </si>
  <si>
    <t>Malambot na Pork Shoulder Chop na Manipis ang Buto sa Bawang at Toyo</t>
  </si>
  <si>
    <t>Potongan Bahu Babi Empuk Bertulang Tipis dengan Bawang Putih dan Kecap Asin</t>
  </si>
  <si>
    <t>蜜汁排骨(腩排)</t>
  </si>
  <si>
    <t>Honey-glazed Pork Ribs (Belly Ribs)</t>
  </si>
  <si>
    <t>Tadyang ng Baboy na may Pulot (Tadyang sa Liempo)</t>
  </si>
  <si>
    <t>Iga Babi Saus Madu (Iga Perut)</t>
  </si>
  <si>
    <t>日式蘿蔔燉雞翼</t>
  </si>
  <si>
    <t>Japanese-style Chicken Wings Stewed with Radish</t>
  </si>
  <si>
    <t>Pakpak ng Manok na Nilaga sa Labanos na Estilong Hapones</t>
  </si>
  <si>
    <t>Sayap Ayam Rebus Lobak ala Jepang</t>
  </si>
  <si>
    <t>蕃薯梅子燒雞</t>
  </si>
  <si>
    <t>Chicken Braised with Sweet Potatoes and Plums</t>
  </si>
  <si>
    <t>Manok na Nilaga sa Kamote at Plum</t>
  </si>
  <si>
    <t>Ayam Masak Ubi Jalar dan Plum</t>
  </si>
  <si>
    <t>茄汁毛豆玉米雞絞肉</t>
  </si>
  <si>
    <t>Minced Chicken with Edamame and Corn in Tomato Sauce</t>
  </si>
  <si>
    <t>Giniling na Manok na may Edamame at Mais sa Sarsang Kamatis</t>
  </si>
  <si>
    <t>Ayam Cincang dengan Edamame dan Jagung Saus Tomat</t>
  </si>
  <si>
    <t>香菇綠竹筍燒雞</t>
  </si>
  <si>
    <t>Chicken Braised with Shiitake Mushrooms and Green Bamboo Shoots</t>
  </si>
  <si>
    <t>Manok na Nilaga sa Shiitake at Labong na Berdeng Kawayan</t>
  </si>
  <si>
    <t>Ayam Masak Jamur Shiitake dan Rebung Bambu Hijau</t>
  </si>
  <si>
    <t>香煎雞腿排佐櫛瓜</t>
  </si>
  <si>
    <t>Pan-fried Chicken Thigh Steak with Zucchini</t>
  </si>
  <si>
    <t>Pinritong Steak ng Hita ng Manok na may Zucchini</t>
  </si>
  <si>
    <t>Steik Paha Ayam Goreng Wajan dengan Zukini</t>
  </si>
  <si>
    <t>海帶滷雞翼</t>
  </si>
  <si>
    <t>Chicken Wings Braised with Kelp</t>
  </si>
  <si>
    <t>Pakpak ng Manok na Nilaga sa Toyo at Kelp</t>
  </si>
  <si>
    <t>Sayap Ayam Masak Kecap dan Rumput Laut Kelp</t>
  </si>
  <si>
    <t>蔥油淋雞</t>
  </si>
  <si>
    <t>Chicken with Spring Onion Oil</t>
  </si>
  <si>
    <t>Manok na Binuhusan ng Langis ng Dahon ng Sibuyas</t>
  </si>
  <si>
    <t>Ayam Siram Minyak Daun Bawang</t>
  </si>
  <si>
    <t>蘆筍甜椒鳯梨炒嫩雞</t>
  </si>
  <si>
    <t>Stir-fried Tender Chicken with Asparagus, Bell Peppers and Pineapple</t>
  </si>
  <si>
    <t>Ginisang Malambot na Manok na may Asparagus, Bell Pepper at Pinya</t>
  </si>
  <si>
    <t>Ayam Empuk Tumis Asparagus, Paprika dan Nanas</t>
  </si>
  <si>
    <t>鹽麴雞唐揚</t>
  </si>
  <si>
    <t>Salt Koji Chicken Karaage</t>
  </si>
  <si>
    <t>Chicken Karaage na may Salt Koji</t>
  </si>
  <si>
    <t>Karaage Ayam Koji Garam</t>
  </si>
  <si>
    <t>香酥鱈魚</t>
  </si>
  <si>
    <t>Crispy Cod</t>
  </si>
  <si>
    <t>Malutong na Cod</t>
  </si>
  <si>
    <t>Ikan Kod Renyah</t>
  </si>
  <si>
    <t>香煎赤鯮</t>
  </si>
  <si>
    <t>Pan-fried Crimson Seabream</t>
  </si>
  <si>
    <t>Pinritong Crimson Seabream</t>
  </si>
  <si>
    <t>Ikan Crimson Seabream Goreng Wajan</t>
  </si>
  <si>
    <t>香煎三文魚</t>
  </si>
  <si>
    <t>Pinritong Salmon</t>
  </si>
  <si>
    <t>Salmon Goreng Wajan</t>
  </si>
  <si>
    <t>香煎鱸魚排</t>
  </si>
  <si>
    <t>Pan-fried Sea Bass Fillet</t>
  </si>
  <si>
    <t>Pinritong Fillet ng Sea Bass</t>
  </si>
  <si>
    <t>Filet Ikan Kakap Putih Goreng Wajan</t>
  </si>
  <si>
    <t>烤一夜干</t>
  </si>
  <si>
    <t>Grilled Overnight-dried Fish</t>
  </si>
  <si>
    <t>Inihaw na Isdang Pinatuyo nang Magdamag</t>
  </si>
  <si>
    <t>Ikan Kering Semalam Panggang</t>
  </si>
  <si>
    <t>烤挪威鹽漬鯖魚</t>
  </si>
  <si>
    <t>Grilled Norwegian Salted Mackerel</t>
  </si>
  <si>
    <t>Inihaw na Inasnan na Mackerel mula sa Norway</t>
  </si>
  <si>
    <t>Ikan Makarel Asin Norwegia Panggang</t>
  </si>
  <si>
    <t>椒鹽檸檬烤三文魚</t>
  </si>
  <si>
    <t>Roast Salmon with Salt, Pepper and Lemon</t>
  </si>
  <si>
    <t>Inihaw na Salmon na may Asin, Paminta at Limon</t>
  </si>
  <si>
    <t>Salmon Panggang Garam, Lada dan Lemon</t>
  </si>
  <si>
    <t>蔥爆蝦</t>
  </si>
  <si>
    <t>Flash-fried Shrimp with Spring Onions</t>
  </si>
  <si>
    <t>Mabilis na Ginisang Hipon na may Dahon ng Sibuyas</t>
  </si>
  <si>
    <t>Udang Tumis Cepat Daun Bawang</t>
  </si>
  <si>
    <t>蔭鳳梨清蒸白帶魚捲</t>
  </si>
  <si>
    <t>Steamed Hairtail Fish Rolls with Fermented Pineapple</t>
  </si>
  <si>
    <t>Pinasingawang Rolyo ng Isdang Espada na may Burong Pinya</t>
  </si>
  <si>
    <t>Gulungan Ikan Layur Kukus dengan Nanas Fermentasi</t>
  </si>
  <si>
    <t>蝦仁炒蘆筍</t>
  </si>
  <si>
    <t>Stir-fried Shelled Shrimp with Asparagus</t>
  </si>
  <si>
    <t>Ginisang Binalatang Hipon na may Asparagus</t>
  </si>
  <si>
    <t>Udang Kupas Tumis Asparagus</t>
  </si>
  <si>
    <t>鹽烤檸檬魚下巴</t>
  </si>
  <si>
    <t>Salt-grilled Fish Collar with Lemon</t>
  </si>
  <si>
    <t>Inihaw na Panga ng Isda na may Asin at Limon</t>
  </si>
  <si>
    <t>Rahang Ikan Panggang Garam dan Lemon</t>
  </si>
  <si>
    <t>山藥醬油燒</t>
  </si>
  <si>
    <t>Chinese Yam Braised in Soy Sauce</t>
  </si>
  <si>
    <t>Chinese Yam na Nilaga sa Toyo</t>
  </si>
  <si>
    <t>Ubi Cina Masak Kecap Asin</t>
  </si>
  <si>
    <t>四季豆佐芝麻醬</t>
  </si>
  <si>
    <t>Green Beans with Sesame Sauce</t>
  </si>
  <si>
    <t>Baguio Beans na may Sarsang Linga</t>
  </si>
  <si>
    <t>Buncis dengan Saus Wijen</t>
  </si>
  <si>
    <t>紅燒冬瓜</t>
  </si>
  <si>
    <t>Red-braised Winter Melon</t>
  </si>
  <si>
    <t>Kundol na Nilaga sa Toyo</t>
  </si>
  <si>
    <t>Labu Air Masak Kecap</t>
  </si>
  <si>
    <t>香煎薯仔</t>
  </si>
  <si>
    <t>Pan-fried Potatoes</t>
  </si>
  <si>
    <t>Pinritong Patatas</t>
  </si>
  <si>
    <t>Kentang Goreng Wajan</t>
  </si>
  <si>
    <t>脆炒大黃瓜</t>
  </si>
  <si>
    <t>Crisp Stir-fried Large Cucumber</t>
  </si>
  <si>
    <t>Malutong na Ginisang Malaking Pipino</t>
  </si>
  <si>
    <t>Mentimun Besar Tumis Renyah</t>
  </si>
  <si>
    <t>高湯娃娃菜</t>
  </si>
  <si>
    <t>Baby Chinese Cabbage in Stock</t>
  </si>
  <si>
    <t>Murang Chinese Cabbage sa Sabaw</t>
  </si>
  <si>
    <t>Sawi Putih Mini dalam Kaldu</t>
  </si>
  <si>
    <t>梅汁涼拌秋葵</t>
  </si>
  <si>
    <t>Cold Okra Salad with Plum Dressing</t>
  </si>
  <si>
    <t>Malamig na Salad ng Okra na may Sarsang Plum</t>
  </si>
  <si>
    <t>Salad Okra Dingin Saus Plum</t>
  </si>
  <si>
    <t>涼拌白菜心</t>
  </si>
  <si>
    <t>Cold Chinese Cabbage Heart Salad</t>
  </si>
  <si>
    <t>Malamig na Salad ng Puso ng Chinese Cabbage</t>
  </si>
  <si>
    <t>Salad Inti Sawi Putih Dingin</t>
  </si>
  <si>
    <t>焦糖燒粟米</t>
  </si>
  <si>
    <t>Caramelized Corn</t>
  </si>
  <si>
    <t>Mais na may Karamelo</t>
  </si>
  <si>
    <t>Jagung Karamel</t>
  </si>
  <si>
    <t>塔香野菇炒粟米仔</t>
  </si>
  <si>
    <t>Stir-fried Wild Mushrooms and Baby Corn with Basil</t>
  </si>
  <si>
    <t>Ginisang Ligaw na Kabute at Baby Corn na may Balanoy</t>
  </si>
  <si>
    <t>Jamur Liar dan Jagung Muda Tumis Kemangi</t>
  </si>
  <si>
    <t>皮蛋豆腐</t>
  </si>
  <si>
    <t>Tofu with Century Egg</t>
  </si>
  <si>
    <t>Tokwa na may Century Egg</t>
  </si>
  <si>
    <t>Tahu dengan Telur Pitan</t>
  </si>
  <si>
    <t>芝麻醬涼拌豆腐</t>
  </si>
  <si>
    <t>Cold Tofu with Sesame Sauce</t>
  </si>
  <si>
    <t>Malamig na Tokwa na may Sarsang Linga</t>
  </si>
  <si>
    <t>Tahu Dingin Saus Wijen</t>
  </si>
  <si>
    <t>家常滷豆腐</t>
  </si>
  <si>
    <t>Homestyle Braised Tofu</t>
  </si>
  <si>
    <t>Tokwang Nilaga sa Toyo na Lutong-bahay</t>
  </si>
  <si>
    <t>Tahu Masak Kecap Rumahan</t>
  </si>
  <si>
    <t>椒鹽豆腐丁</t>
  </si>
  <si>
    <t>Salt and Pepper Tofu Cubes</t>
  </si>
  <si>
    <t>Kuwadradong Tokwa na may Asin at Paminta</t>
  </si>
  <si>
    <t>Tahu Dadu Garam dan Lada</t>
  </si>
  <si>
    <t>蔥味噌焗烤芝士油豆腐</t>
  </si>
  <si>
    <t>Baked Fried Tofu with Spring Onion Miso and Cheese</t>
  </si>
  <si>
    <t>Inihurnong Pritong Tokwa na may Miso, Dahon ng Sibuyas at Keso</t>
  </si>
  <si>
    <t>Tahu Goreng Panggang dengan Miso Daun Bawang dan Keju</t>
  </si>
  <si>
    <t>蔥燒豆皮</t>
  </si>
  <si>
    <t>Tofu Skin Braised with Spring Onions</t>
  </si>
  <si>
    <t>Balat ng Tokwa na Nilaga sa Dahon ng Sibuyas</t>
  </si>
  <si>
    <t>Kulit Tahu Masak Daun Bawang</t>
  </si>
  <si>
    <t>粟米玉子燒</t>
  </si>
  <si>
    <t>Japanese Rolled Omelette with Corn</t>
  </si>
  <si>
    <t>Japanese na Nirolyong Omelette na may Mais</t>
  </si>
  <si>
    <t>Telur Dadar Gulung Jepang dengan Jagung</t>
  </si>
  <si>
    <t>紫菜玉子燒</t>
  </si>
  <si>
    <t>Japanese Rolled Omelette with Nori</t>
  </si>
  <si>
    <t>Japanese na Nirolyong Omelette na may Nori</t>
  </si>
  <si>
    <t>Telur Dadar Gulung Jepang dengan Nori</t>
  </si>
  <si>
    <t>茭白筍炒蛋</t>
  </si>
  <si>
    <t>Stir-fried Water Bamboo Shoots with Eggs</t>
  </si>
  <si>
    <t>Ginisang Labong ng Water Bamboo na may Itlog</t>
  </si>
  <si>
    <t>Rebung Bambu Air Tumis Telur</t>
  </si>
  <si>
    <t>蝦仁炒蛋</t>
  </si>
  <si>
    <t>Scrambled Eggs with Shelled Shrimp</t>
  </si>
  <si>
    <t>Binatil na Itlog na may Binalatang Hipon</t>
  </si>
  <si>
    <t>Telur Orak-arik Udang Kupas</t>
  </si>
  <si>
    <t>櫻花蝦菜脯蛋</t>
  </si>
  <si>
    <t>Omelette with Sakura Shrimp and Preserved Radish</t>
  </si>
  <si>
    <t>Omelette na may Sakura Shrimp at Inasnan na Labanos</t>
  </si>
  <si>
    <t>Telur Dadar Udang Sakura dan Lobak Asin</t>
  </si>
  <si>
    <t>鹽昆布薯仔雞蛋沙律</t>
  </si>
  <si>
    <t>Potato and Egg Salad with Salted Kombu</t>
  </si>
  <si>
    <t>Salad ng Patatas at Itlog na may Inasnan na Kombu</t>
  </si>
  <si>
    <t>Salad Kentang dan Telur dengan Kombu Asin</t>
  </si>
  <si>
    <t>Wonton Noodle Soup</t>
  </si>
  <si>
    <t>Noodle Soup na may Wonton</t>
  </si>
  <si>
    <t>Mi Kuah Pangsit</t>
  </si>
  <si>
    <t>凍烏冬佐溫泉蛋</t>
  </si>
  <si>
    <t>Cold Udon with Onsen Egg</t>
  </si>
  <si>
    <t>Malamig na Udon na may Onsen Egg</t>
  </si>
  <si>
    <t>Udon Dingin dengan Telur Onsen</t>
  </si>
  <si>
    <t>洋蔥雞肉燥飯佐溫泉蛋</t>
  </si>
  <si>
    <t>Rice with Onion and Minced Chicken Sauce, Served with Onsen Egg</t>
  </si>
  <si>
    <t>Kanin na may Sarsang Sibuyas at Giniling na Manok, kasama ang Onsen Egg</t>
  </si>
  <si>
    <t>Nasi Saus Bawang Bombai dan Ayam Cincang dengan Telur Onsen</t>
  </si>
  <si>
    <t>焦糖粟米飯</t>
  </si>
  <si>
    <t>Caramelized Corn Rice</t>
  </si>
  <si>
    <t>Kanin na may Mais na Karamelado</t>
  </si>
  <si>
    <t>Nasi Jagung Karamel</t>
  </si>
  <si>
    <t>蝦仁炒飯</t>
  </si>
  <si>
    <t>Fried Rice with Shelled Shrimp</t>
  </si>
  <si>
    <t>Sinangag na may Binalatang Hipon</t>
  </si>
  <si>
    <t>Nasi Goreng Udang Kupas</t>
  </si>
  <si>
    <t>韓式烤肉時蔬拌飯</t>
  </si>
  <si>
    <t>Korean Rice Bowl with Grilled Meat and Seasonal Vegetables</t>
  </si>
  <si>
    <t>Korean na Kanin na may Inihaw na Karne at Pana-panahong Gulay</t>
  </si>
  <si>
    <t>Nasi Campur Daging Panggang dan Sayuran Musiman ala Korea</t>
  </si>
  <si>
    <t>台式雞肉飯</t>
  </si>
  <si>
    <t>Taiwanese Chicken Rice</t>
  </si>
  <si>
    <t>Kanin na may Manok na Estilong Taiwan</t>
  </si>
  <si>
    <t>Nasi Ayam ala Taiwan</t>
  </si>
  <si>
    <t>油揚味噌湯</t>
  </si>
  <si>
    <t>Miso Soup with Fried Tofu Pouches</t>
  </si>
  <si>
    <t>Sabaw na Miso na may Aburaage</t>
  </si>
  <si>
    <t>Sup Miso dengan Aburaage</t>
  </si>
  <si>
    <t>台式蕃茄蛋花雞湯</t>
  </si>
  <si>
    <t>Taiwanese Tomato and Egg Drop Chicken Soup</t>
  </si>
  <si>
    <t>Taiwanese na Sabaw ng Manok na may Kamatis at Hibla ng Itlog</t>
  </si>
  <si>
    <t>Sup Ayam Tomat dan Serabut Telur ala Taiwan</t>
  </si>
  <si>
    <t>台式蜆絲瓜湯</t>
  </si>
  <si>
    <t>Taiwanese Clam and Luffa Soup</t>
  </si>
  <si>
    <t>Taiwanese na Sabaw ng Tulya at Patola</t>
  </si>
  <si>
    <t>Sup Kerang dan Oyong ala Taiwan</t>
  </si>
  <si>
    <t>韓式海帶芽牛肉湯</t>
  </si>
  <si>
    <t>Korean Seaweed and Beef Soup</t>
  </si>
  <si>
    <t>Korean na Sabaw ng Damong-dagat at Baka</t>
  </si>
  <si>
    <t>Sup Rumput Laut dan Sapi ala Korea</t>
  </si>
  <si>
    <t>蘿蔔三文魚味噌湯</t>
  </si>
  <si>
    <t>Radish and Salmon Miso Soup</t>
  </si>
  <si>
    <t>Sabaw na Miso na may Labanos at Salmon</t>
  </si>
  <si>
    <t>Sup Miso Lobak dan Salmon</t>
  </si>
  <si>
    <t>和風洋葱蛋花湯</t>
  </si>
  <si>
    <t>Japanese-style Onion and Egg Drop Soup</t>
  </si>
  <si>
    <t>Japanese na Sabaw ng Sibuyas at Hibla ng Itlog</t>
  </si>
  <si>
    <t>Sup Bawang Bombai dan Serabut Telur ala Jepang</t>
  </si>
  <si>
    <t>金菇肥牛</t>
  </si>
  <si>
    <t>Enoki Mushrooms with Fatty Beef</t>
  </si>
  <si>
    <t>Kabuteng Enoki na may Matabang Baka</t>
  </si>
  <si>
    <t>Jamur Enoki dengan Daging Sapi Berlemak</t>
  </si>
  <si>
    <t>印尼文翻譯 (Indonesian)2</t>
  </si>
  <si>
    <t>豉椒炒蜆</t>
    <phoneticPr fontId="2" type="noConversion"/>
  </si>
  <si>
    <t>豉汁帶子蒸豆腐</t>
    <phoneticPr fontId="2" type="noConversion"/>
  </si>
  <si>
    <t>豉油王煎蝦配腸粉底</t>
    <phoneticPr fontId="2" type="noConversion"/>
  </si>
  <si>
    <t>flautas</t>
    <phoneticPr fontId="2" type="noConversion"/>
  </si>
  <si>
    <t>餛飩湯麵</t>
    <phoneticPr fontId="2" type="noConversion"/>
  </si>
  <si>
    <r>
      <rPr>
        <sz val="12"/>
        <color theme="1"/>
        <rFont val="細明體"/>
        <family val="2"/>
        <charset val="136"/>
      </rPr>
      <t>麻油熱鍋</t>
    </r>
    <r>
      <rPr>
        <sz val="12"/>
        <color theme="1"/>
        <rFont val="Calibri"/>
        <family val="2"/>
      </rPr>
      <t>,</t>
    </r>
    <r>
      <rPr>
        <sz val="12"/>
        <color theme="1"/>
        <rFont val="細明體"/>
        <family val="2"/>
        <charset val="136"/>
      </rPr>
      <t>加入蝦仁</t>
    </r>
    <r>
      <rPr>
        <sz val="12"/>
        <color theme="1"/>
        <rFont val="Calibri"/>
        <family val="2"/>
      </rPr>
      <t>,</t>
    </r>
    <r>
      <rPr>
        <sz val="12"/>
        <color theme="1"/>
        <rFont val="細明體"/>
        <family val="2"/>
        <charset val="136"/>
      </rPr>
      <t>中大火快炒至表層轉紅</t>
    </r>
    <r>
      <rPr>
        <sz val="12"/>
        <color theme="1"/>
        <rFont val="Calibri"/>
        <family val="2"/>
      </rPr>
      <t xml:space="preserve">, </t>
    </r>
    <r>
      <rPr>
        <sz val="12"/>
        <color theme="1"/>
        <rFont val="細明體"/>
        <family val="2"/>
        <charset val="136"/>
      </rPr>
      <t>加入調味料</t>
    </r>
    <r>
      <rPr>
        <sz val="12"/>
        <color theme="1"/>
        <rFont val="Calibri"/>
        <family val="2"/>
      </rPr>
      <t xml:space="preserve">A, </t>
    </r>
    <r>
      <rPr>
        <sz val="12"/>
        <color theme="1"/>
        <rFont val="細明體"/>
        <family val="2"/>
        <charset val="136"/>
      </rPr>
      <t>拌炒均勻後起鍋</t>
    </r>
    <phoneticPr fontId="2" type="noConversion"/>
  </si>
  <si>
    <t>將調味料B加入蛋中打散,倒入鍋中拌炒,待蛋液八分熟時,將蝦仁鋪回蛋上, 最後翻炒一下</t>
    <phoneticPr fontId="2" type="noConversion"/>
  </si>
  <si>
    <t>蝦仁</t>
  </si>
  <si>
    <t>蝦仁</t>
    <phoneticPr fontId="2" type="noConversion"/>
  </si>
  <si>
    <r>
      <rPr>
        <sz val="12"/>
        <color theme="1"/>
        <rFont val="微軟正黑體"/>
        <family val="2"/>
        <charset val="136"/>
      </rPr>
      <t>調味</t>
    </r>
    <r>
      <rPr>
        <sz val="12"/>
        <color theme="1"/>
        <rFont val="新細明體"/>
        <family val="2"/>
        <charset val="136"/>
        <scheme val="minor"/>
      </rPr>
      <t>B</t>
    </r>
    <phoneticPr fontId="2" type="noConversion"/>
  </si>
  <si>
    <t>葱花</t>
  </si>
  <si>
    <t>葱花</t>
    <phoneticPr fontId="2" type="noConversion"/>
  </si>
  <si>
    <t>以少許油熱鍋後, 爆香紅葱,接著加入豬肉拌炒至熟</t>
    <phoneticPr fontId="2" type="noConversion"/>
  </si>
  <si>
    <t>加入調味料,將肉炒上色後,加水</t>
    <phoneticPr fontId="2" type="noConversion"/>
  </si>
  <si>
    <t>待湯汁微滾,蓋鍋蓋燜10分鐘,讓絞肉入味</t>
    <phoneticPr fontId="2" type="noConversion"/>
  </si>
  <si>
    <t>加入冬瓜塊,轉小火燜煮10分鐘,待冬瓜成琥珀色即成</t>
    <phoneticPr fontId="2" type="noConversion"/>
  </si>
  <si>
    <t>冬瓜</t>
  </si>
  <si>
    <t>冬瓜</t>
    <phoneticPr fontId="2" type="noConversion"/>
  </si>
  <si>
    <t>紅葱頭</t>
  </si>
  <si>
    <t>紅葱頭</t>
    <phoneticPr fontId="2" type="noConversion"/>
  </si>
  <si>
    <t>冰糖</t>
  </si>
  <si>
    <t>冰糖</t>
    <phoneticPr fontId="2" type="noConversion"/>
  </si>
  <si>
    <t>米酒</t>
  </si>
  <si>
    <t>米酒</t>
    <phoneticPr fontId="2" type="noConversion"/>
  </si>
  <si>
    <t>小片</t>
    <phoneticPr fontId="2" type="noConversion"/>
  </si>
  <si>
    <t>顆(切片)</t>
    <phoneticPr fontId="2" type="noConversion"/>
  </si>
  <si>
    <t>小撮</t>
    <phoneticPr fontId="2" type="noConversion"/>
  </si>
  <si>
    <t>暴徒廚房</t>
    <phoneticPr fontId="2" type="noConversion"/>
  </si>
  <si>
    <t>顆</t>
    <phoneticPr fontId="2" type="noConversion"/>
  </si>
  <si>
    <t>小茴香粉</t>
  </si>
  <si>
    <t>小茴香粉</t>
    <phoneticPr fontId="2" type="noConversion"/>
  </si>
  <si>
    <t>青檸汁</t>
  </si>
  <si>
    <t>青檸汁</t>
    <phoneticPr fontId="2" type="noConversion"/>
  </si>
  <si>
    <t>斑豆</t>
  </si>
  <si>
    <t>斑豆</t>
    <phoneticPr fontId="2" type="noConversion"/>
  </si>
  <si>
    <t>辣椒粉</t>
  </si>
  <si>
    <t>辣椒粉</t>
    <phoneticPr fontId="2" type="noConversion"/>
  </si>
  <si>
    <t>粟米粒</t>
    <phoneticPr fontId="2" type="noConversion"/>
  </si>
  <si>
    <t>微辣綠椒</t>
  </si>
  <si>
    <t>微辣綠椒</t>
    <phoneticPr fontId="2" type="noConversion"/>
  </si>
  <si>
    <t>Green chile</t>
    <phoneticPr fontId="2" type="noConversion"/>
  </si>
  <si>
    <t>罐</t>
    <phoneticPr fontId="2" type="noConversion"/>
  </si>
  <si>
    <t>預熱焗爐二百度,在大的淺烤盤裡噴一層薄薄的油</t>
    <phoneticPr fontId="2" type="noConversion"/>
  </si>
  <si>
    <t>在大炒鍋內倒入橄欖油,以中火加熱, 放洋葱,翻炒至開始變金黃.約5分鐘.加入調味,繼續翻炒約30秒後熄火</t>
    <phoneticPr fontId="2" type="noConversion"/>
  </si>
  <si>
    <t>在大碗裡放入煮熟的豆,綠椒,青檸汁,將他們壓成泥.拌入炒過的洋葱,加入粟米粒翻一翻</t>
    <phoneticPr fontId="2" type="noConversion"/>
  </si>
  <si>
    <t>墨西哥麵粉薄餅</t>
    <phoneticPr fontId="2" type="noConversion"/>
  </si>
  <si>
    <t>Tortilla</t>
    <phoneticPr fontId="2" type="noConversion"/>
  </si>
  <si>
    <t>將薄餅加熱, 舀兩勺子餡料,整齊地平鋪在一片薄餅上. 靠近左邊緣.由左往右把這小餅捲好.(可在封口處塗一些豆泥黏實) 將笛子卷餅的封口朝下,放在淺烤盤上.相隔3-5CM的距離.</t>
    <phoneticPr fontId="2" type="noConversion"/>
  </si>
  <si>
    <t>為全部卷餅噴一層薄油. 烤10分鐘.取出時,卷餅底部應該呈現金黃色. 翻面烤另一邊, 大約5-7分鐘. 可在上面添加莎莎醬和生菜.</t>
    <phoneticPr fontId="2" type="noConversion"/>
  </si>
  <si>
    <t>Dish_Fil</t>
    <phoneticPr fontId="2" type="noConversion"/>
  </si>
  <si>
    <t>Dish_Id</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</si>
</sst>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x14ac:knownFonts="1">
    <font>
      <sz val="12"/>
      <color theme="1"/>
      <name val="新細明體"/>
      <family val="2"/>
      <charset val="136"/>
      <scheme val="minor"/>
    </font>
    <font>
      <sz val="12"/>
      <color theme="1"/>
      <name val="新細明體"/>
      <family val="2"/>
      <charset val="136"/>
    </font>
    <font>
      <sz val="9"/>
      <name val="新細明體"/>
      <family val="2"/>
      <charset val="136"/>
      <scheme val="minor"/>
    </font>
    <font>
      <sz val="12"/>
      <color theme="1"/>
      <name val="Calibri"/>
      <family val="2"/>
    </font>
    <font>
      <sz val="12"/>
      <color theme="1"/>
      <name val="細明體"/>
      <family val="2"/>
      <charset val="136"/>
    </font>
    <font>
      <sz val="12"/>
      <color theme="1"/>
      <name val="Calibri"/>
      <family val="2"/>
      <charset val="136"/>
    </font>
    <font>
      <sz val="12"/>
      <color theme="1"/>
      <name val="微軟正黑體"/>
      <family val="2"/>
      <charset val="136"/>
    </font>
    <font>
      <sz val="12"/>
      <color theme="1"/>
      <name val="新細明體"/>
      <family val="1"/>
      <charset val="136"/>
    </font>
    <font>
      <b/>
      <sz val="12"/>
      <color theme="1"/>
      <name val="Calibri"/>
      <family val="2"/>
    </font>
    <font>
      <b/>
      <sz val="12"/>
      <color theme="1"/>
      <name val="新細明體"/>
      <family val="1"/>
      <charset val="136"/>
    </font>
    <font>
      <sz val="12"/>
      <color theme="1"/>
      <name val="細明體"/>
      <family val="3"/>
      <charset val="136"/>
    </font>
    <font>
      <sz val="12"/>
      <color theme="1"/>
      <name val="新細明體"/>
      <family val="3"/>
      <charset val="136"/>
    </font>
    <font>
      <sz val="12"/>
      <color theme="1"/>
      <name val="Calibri"/>
      <family val="3"/>
      <charset val="136"/>
    </font>
    <font>
      <b/>
      <sz val="12"/>
      <color theme="0"/>
      <name val="Calibri"/>
      <family val="2"/>
    </font>
    <font>
      <b/>
      <sz val="12"/>
      <color theme="1"/>
      <name val="細明體"/>
      <family val="2"/>
      <charset val="136"/>
    </font>
    <font>
      <sz val="11"/>
      <color theme="1"/>
      <name val="新細明體"/>
      <family val="2"/>
      <scheme val="minor"/>
    </font>
    <font>
      <b/>
      <sz val="12"/>
      <color rgb="FFFFFFFF"/>
      <name val="Calibri"/>
      <family val="2"/>
    </font>
    <font>
      <sz val="11"/>
      <name val="Calibri"/>
      <family val="2"/>
    </font>
    <font>
      <sz val="11"/>
      <name val="微軟正黑體"/>
      <family val="2"/>
      <charset val="136"/>
    </font>
    <font>
      <sz val="11"/>
      <name val="Calibri"/>
      <family val="2"/>
      <charset val="136"/>
    </font>
  </fonts>
  <fills count="12">
    <fill>
      <patternFill patternType="none"/>
    </fill>
    <fill>
      <patternFill patternType="gray125"/>
    </fill>
    <fill>
      <patternFill patternType="solid">
        <fgColor theme="8" tint="-0.249977111117893"/>
        <bgColor indexed="64"/>
      </patternFill>
    </fill>
    <fill>
      <patternFill patternType="solid">
        <fgColor theme="9" tint="0.39997558519241921"/>
        <bgColor indexed="64"/>
      </patternFill>
    </fill>
    <fill>
      <patternFill patternType="solid">
        <fgColor rgb="FFFFFF00"/>
        <bgColor indexed="64"/>
      </patternFill>
    </fill>
    <fill>
      <patternFill patternType="solid">
        <fgColor theme="4"/>
        <bgColor theme="4"/>
      </patternFill>
    </fill>
    <fill>
      <patternFill patternType="solid">
        <fgColor theme="5" tint="0.39997558519241921"/>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1F4E79"/>
        <bgColor rgb="FF1F4E79"/>
      </patternFill>
    </fill>
    <fill>
      <patternFill patternType="solid">
        <fgColor rgb="FFFFFFFF"/>
        <bgColor rgb="FFFFFFFF"/>
      </patternFill>
    </fill>
    <fill>
      <patternFill patternType="solid">
        <fgColor rgb="FFEAF5FA"/>
      </patternFill>
    </fill>
  </fills>
  <borders count="8">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style="thin">
        <color rgb="FFD9D9D9"/>
      </left>
      <right style="thin">
        <color rgb="FFD9D9D9"/>
      </right>
      <top/>
      <bottom style="thin">
        <color rgb="FFD9D9D9"/>
      </bottom>
      <diagonal/>
    </border>
  </borders>
  <cellStyleXfs count="2">
    <xf numFmtId="0" fontId="0" fillId="0" borderId="0">
      <alignment vertical="center"/>
    </xf>
    <xf numFmtId="0" fontId="15" fillId="0" borderId="0"/>
  </cellStyleXfs>
  <cellXfs count="46">
    <xf numFmtId="0" fontId="0" fillId="0" borderId="0" xfId="0">
      <alignment vertical="center"/>
    </xf>
    <xf numFmtId="0" fontId="3" fillId="0" borderId="0" xfId="0" applyFont="1">
      <alignment vertical="center"/>
    </xf>
    <xf numFmtId="0" fontId="4" fillId="0" borderId="0" xfId="0" applyFont="1">
      <alignment vertical="center"/>
    </xf>
    <xf numFmtId="0" fontId="3" fillId="2" borderId="0" xfId="0" applyFont="1" applyFill="1">
      <alignment vertical="center"/>
    </xf>
    <xf numFmtId="0" fontId="3" fillId="3" borderId="0" xfId="0" applyFont="1" applyFill="1">
      <alignment vertical="center"/>
    </xf>
    <xf numFmtId="0" fontId="5" fillId="0" borderId="0" xfId="0" applyFont="1">
      <alignment vertical="center"/>
    </xf>
    <xf numFmtId="0" fontId="6" fillId="0" borderId="0" xfId="0" applyFont="1">
      <alignment vertical="center"/>
    </xf>
    <xf numFmtId="0" fontId="3" fillId="0" borderId="0" xfId="0" applyFont="1" applyAlignment="1">
      <alignment horizontal="center" vertical="center" wrapText="1"/>
    </xf>
    <xf numFmtId="0" fontId="8" fillId="0" borderId="0" xfId="0" applyFont="1" applyAlignment="1">
      <alignment horizontal="center" vertical="center" wrapText="1"/>
    </xf>
    <xf numFmtId="0" fontId="3" fillId="4" borderId="0" xfId="0" applyFont="1" applyFill="1">
      <alignment vertical="center"/>
    </xf>
    <xf numFmtId="0" fontId="3" fillId="0" borderId="0" xfId="0" applyFont="1" applyAlignment="1">
      <alignment vertical="top" wrapText="1"/>
    </xf>
    <xf numFmtId="0" fontId="5" fillId="0" borderId="0" xfId="0" applyFont="1" applyAlignment="1">
      <alignment vertical="top" wrapText="1"/>
    </xf>
    <xf numFmtId="0" fontId="12" fillId="0" borderId="0" xfId="0" applyFont="1" applyAlignment="1">
      <alignment vertical="top" wrapText="1"/>
    </xf>
    <xf numFmtId="0" fontId="13" fillId="5" borderId="1" xfId="0" applyFont="1" applyFill="1" applyBorder="1">
      <alignment vertical="center"/>
    </xf>
    <xf numFmtId="0" fontId="13" fillId="5" borderId="2" xfId="0" applyFont="1" applyFill="1" applyBorder="1">
      <alignment vertical="center"/>
    </xf>
    <xf numFmtId="0" fontId="3" fillId="6" borderId="0" xfId="0" applyFont="1" applyFill="1">
      <alignment vertical="center"/>
    </xf>
    <xf numFmtId="0" fontId="13" fillId="0" borderId="1" xfId="0" applyFont="1" applyBorder="1">
      <alignment vertical="center"/>
    </xf>
    <xf numFmtId="0" fontId="13" fillId="3" borderId="2" xfId="0" applyFont="1" applyFill="1" applyBorder="1">
      <alignment vertical="center"/>
    </xf>
    <xf numFmtId="0" fontId="13" fillId="0" borderId="0" xfId="0" applyFont="1">
      <alignment vertical="center"/>
    </xf>
    <xf numFmtId="0" fontId="14" fillId="0" borderId="0" xfId="0" applyFont="1" applyAlignment="1">
      <alignment horizontal="center" vertical="center" wrapText="1"/>
    </xf>
    <xf numFmtId="0" fontId="3" fillId="7" borderId="3" xfId="0" applyFont="1" applyFill="1" applyBorder="1">
      <alignment vertical="center"/>
    </xf>
    <xf numFmtId="0" fontId="8" fillId="5" borderId="3" xfId="0" applyFont="1" applyFill="1" applyBorder="1" applyAlignment="1">
      <alignment horizontal="center" vertical="center" wrapText="1"/>
    </xf>
    <xf numFmtId="0" fontId="10" fillId="0" borderId="0" xfId="0" applyFont="1">
      <alignment vertical="center"/>
    </xf>
    <xf numFmtId="0" fontId="3" fillId="0" borderId="0" xfId="0" applyFont="1" applyAlignment="1">
      <alignment horizontal="right" vertical="center"/>
    </xf>
    <xf numFmtId="0" fontId="0" fillId="0" borderId="0" xfId="0" applyAlignment="1">
      <alignment horizontal="right" vertical="center"/>
    </xf>
    <xf numFmtId="0" fontId="4" fillId="0" borderId="0" xfId="0" applyFont="1" applyAlignment="1">
      <alignment horizontal="right" vertical="center"/>
    </xf>
    <xf numFmtId="0" fontId="6" fillId="4" borderId="0" xfId="0" applyFont="1" applyFill="1">
      <alignment vertical="center"/>
    </xf>
    <xf numFmtId="12" fontId="3" fillId="0" borderId="0" xfId="0" applyNumberFormat="1" applyFont="1">
      <alignment vertical="center"/>
    </xf>
    <xf numFmtId="0" fontId="3" fillId="7" borderId="1" xfId="0" applyFont="1" applyFill="1" applyBorder="1">
      <alignment vertical="center"/>
    </xf>
    <xf numFmtId="0" fontId="3" fillId="7" borderId="4" xfId="0" applyFont="1" applyFill="1" applyBorder="1">
      <alignment vertical="center"/>
    </xf>
    <xf numFmtId="0" fontId="4" fillId="8" borderId="0" xfId="0" applyFont="1" applyFill="1">
      <alignment vertical="center"/>
    </xf>
    <xf numFmtId="12" fontId="3" fillId="0" borderId="0" xfId="0" applyNumberFormat="1" applyFont="1" applyAlignment="1">
      <alignment horizontal="right" vertical="center"/>
    </xf>
    <xf numFmtId="0" fontId="16" fillId="9" borderId="0" xfId="1" applyFont="1" applyFill="1" applyAlignment="1">
      <alignment horizontal="center" vertical="center"/>
    </xf>
    <xf numFmtId="0" fontId="3" fillId="4" borderId="3" xfId="0" applyFont="1" applyFill="1" applyBorder="1">
      <alignment vertical="center"/>
    </xf>
    <xf numFmtId="0" fontId="17" fillId="11" borderId="0" xfId="0" applyFont="1" applyFill="1" applyAlignment="1">
      <alignment vertical="top" wrapText="1"/>
    </xf>
    <xf numFmtId="0" fontId="17" fillId="0" borderId="0" xfId="0" applyFont="1" applyAlignment="1">
      <alignment vertical="top" wrapText="1"/>
    </xf>
    <xf numFmtId="0" fontId="17" fillId="10" borderId="5" xfId="1" applyFont="1" applyFill="1" applyBorder="1" applyAlignment="1">
      <alignment vertical="top" wrapText="1"/>
    </xf>
    <xf numFmtId="0" fontId="17" fillId="10" borderId="7" xfId="1" applyFont="1" applyFill="1" applyBorder="1" applyAlignment="1">
      <alignment vertical="top" wrapText="1"/>
    </xf>
    <xf numFmtId="0" fontId="17" fillId="10" borderId="6" xfId="1" applyFont="1" applyFill="1" applyBorder="1" applyAlignment="1">
      <alignment vertical="top" wrapText="1"/>
    </xf>
    <xf numFmtId="0" fontId="16" fillId="9" borderId="1" xfId="1" applyFont="1" applyFill="1" applyBorder="1" applyAlignment="1">
      <alignment horizontal="center" vertical="center"/>
    </xf>
    <xf numFmtId="0" fontId="18" fillId="0" borderId="0" xfId="0" applyFont="1" applyAlignment="1">
      <alignment vertical="top" wrapText="1"/>
    </xf>
    <xf numFmtId="0" fontId="18" fillId="11" borderId="0" xfId="0" applyFont="1" applyFill="1" applyAlignment="1">
      <alignment vertical="top" wrapText="1"/>
    </xf>
    <xf numFmtId="0" fontId="19" fillId="10" borderId="5" xfId="1" applyFont="1" applyFill="1" applyBorder="1" applyAlignment="1">
      <alignment vertical="top" wrapText="1"/>
    </xf>
    <xf numFmtId="0" fontId="3" fillId="0" borderId="0" xfId="0" applyFont="1" applyAlignment="1">
      <alignment horizontal="center" vertical="center"/>
    </xf>
    <xf numFmtId="0" fontId="3" fillId="4" borderId="0" xfId="0" applyFont="1" applyFill="1" applyAlignment="1">
      <alignment horizontal="center" vertical="center"/>
    </xf>
    <xf numFmtId="0" fontId="3" fillId="0" borderId="0" xfId="0" applyNumberFormat="1" applyFont="1">
      <alignment vertical="center"/>
    </xf>
  </cellXfs>
  <cellStyles count="2">
    <cellStyle name="一般" xfId="0" builtinId="0"/>
    <cellStyle name="一般 2" xfId="1" xr:uid="{5CDA19C0-CE3E-47EE-BE3A-5920D91C4626}"/>
  </cellStyles>
  <dxfs count="49">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1"/>
        <color auto="1"/>
        <name val="Calibri"/>
        <family val="2"/>
        <scheme val="none"/>
      </font>
      <fill>
        <patternFill patternType="solid">
          <fgColor rgb="FFFFFFFF"/>
          <bgColor rgb="FFFFFFFF"/>
        </patternFill>
      </fill>
      <alignment horizontal="general" vertical="top" textRotation="0" wrapText="1" indent="0" justifyLastLine="0" shrinkToFit="0" readingOrder="0"/>
      <border diagonalUp="0" diagonalDown="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1"/>
        <color auto="1"/>
        <name val="Calibri"/>
        <family val="2"/>
        <scheme val="none"/>
      </font>
      <fill>
        <patternFill patternType="solid">
          <fgColor rgb="FFFFFFFF"/>
          <bgColor rgb="FFFFFFFF"/>
        </patternFill>
      </fill>
      <alignment horizontal="general" vertical="top" textRotation="0" wrapText="1"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1"/>
        <color auto="1"/>
        <name val="Calibri"/>
        <family val="2"/>
        <scheme val="none"/>
      </font>
      <fill>
        <patternFill patternType="solid">
          <fgColor rgb="FFFFFFFF"/>
          <bgColor rgb="FFFFFFFF"/>
        </patternFill>
      </fill>
      <alignment horizontal="general" vertical="top" textRotation="0" wrapText="1"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1"/>
        <color auto="1"/>
        <name val="Calibri"/>
        <family val="2"/>
        <scheme val="none"/>
      </font>
      <fill>
        <patternFill patternType="solid">
          <fgColor rgb="FFFFFFFF"/>
          <bgColor rgb="FFFFFFFF"/>
        </patternFill>
      </fill>
      <alignment horizontal="general" vertical="top" textRotation="0" wrapText="1" indent="0" justifyLastLine="0" shrinkToFit="0" readingOrder="0"/>
      <border diagonalUp="0" diagonalDown="0" outline="0">
        <left style="thin">
          <color rgb="FFD9D9D9"/>
        </left>
        <right style="thin">
          <color rgb="FFD9D9D9"/>
        </right>
        <top style="thin">
          <color rgb="FFD9D9D9"/>
        </top>
        <bottom style="thin">
          <color rgb="FFD9D9D9"/>
        </bottom>
      </border>
    </dxf>
    <dxf>
      <font>
        <b val="0"/>
        <i val="0"/>
        <strike val="0"/>
        <condense val="0"/>
        <extend val="0"/>
        <outline val="0"/>
        <shadow val="0"/>
        <u val="none"/>
        <vertAlign val="baseline"/>
        <sz val="11"/>
        <color auto="1"/>
        <name val="Calibri"/>
        <family val="2"/>
        <scheme val="none"/>
      </font>
      <fill>
        <patternFill patternType="solid">
          <fgColor rgb="FFFFFFFF"/>
          <bgColor rgb="FFFFFFFF"/>
        </patternFill>
      </fill>
      <alignment horizontal="general" vertical="top" textRotation="0" wrapText="1" indent="0" justifyLastLine="0" shrinkToFit="0" readingOrder="0"/>
      <border diagonalUp="0" diagonalDown="0" outline="0">
        <left style="thin">
          <color rgb="FFD9D9D9"/>
        </left>
        <right style="thin">
          <color rgb="FFD9D9D9"/>
        </right>
        <top style="thin">
          <color rgb="FFD9D9D9"/>
        </top>
        <bottom style="thin">
          <color rgb="FFD9D9D9"/>
        </bottom>
      </border>
    </dxf>
    <dxf>
      <border outline="0">
        <bottom style="thin">
          <color rgb="FFD9D9D9"/>
        </bottom>
      </border>
    </dxf>
    <dxf>
      <font>
        <b val="0"/>
        <i val="0"/>
        <strike val="0"/>
        <condense val="0"/>
        <extend val="0"/>
        <outline val="0"/>
        <shadow val="0"/>
        <u val="none"/>
        <vertAlign val="baseline"/>
        <sz val="11"/>
        <color auto="1"/>
        <name val="Calibri"/>
        <family val="2"/>
        <scheme val="none"/>
      </font>
      <fill>
        <patternFill patternType="solid">
          <fgColor rgb="FFFFFFFF"/>
          <bgColor rgb="FFFFFFFF"/>
        </patternFill>
      </fill>
      <alignment horizontal="general" vertical="top" textRotation="0" wrapText="1" indent="0" justifyLastLine="0" shrinkToFit="0" readingOrder="0"/>
    </dxf>
    <dxf>
      <font>
        <b/>
        <i val="0"/>
        <strike val="0"/>
        <condense val="0"/>
        <extend val="0"/>
        <outline val="0"/>
        <shadow val="0"/>
        <u val="none"/>
        <vertAlign val="baseline"/>
        <sz val="12"/>
        <color rgb="FFFFFFFF"/>
        <name val="Calibri"/>
        <family val="2"/>
        <scheme val="none"/>
      </font>
      <fill>
        <patternFill patternType="solid">
          <fgColor rgb="FF1F4E79"/>
          <bgColor rgb="FF1F4E79"/>
        </patternFill>
      </fill>
      <alignment horizontal="center" vertical="center" textRotation="0" wrapText="0" indent="0" justifyLastLine="0" shrinkToFit="0" readingOrder="0"/>
    </dxf>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dxf>
    <dxf>
      <font>
        <b/>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alignment horizontal="right" vertical="center" textRotation="0" wrapText="0" indent="0" justifyLastLine="0" shrinkToFit="0" readingOrder="0"/>
    </dxf>
    <dxf>
      <font>
        <strike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strike val="0"/>
        <outline val="0"/>
        <shadow val="0"/>
        <u val="none"/>
        <vertAlign val="baseline"/>
        <sz val="12"/>
        <color theme="1"/>
        <name val="Calibri"/>
        <family val="2"/>
        <scheme val="none"/>
      </font>
      <numFmt numFmtId="0" formatCode="General"/>
    </dxf>
    <dxf>
      <font>
        <strike val="0"/>
        <outline val="0"/>
        <shadow val="0"/>
        <u val="none"/>
        <vertAlign val="baseline"/>
        <sz val="12"/>
        <color theme="1"/>
        <name val="Calibri"/>
        <family val="2"/>
        <scheme val="none"/>
      </font>
    </dxf>
    <dxf>
      <font>
        <b/>
        <i val="0"/>
        <strike val="0"/>
        <condense val="0"/>
        <extend val="0"/>
        <outline val="0"/>
        <shadow val="0"/>
        <u val="none"/>
        <vertAlign val="baseline"/>
        <sz val="12"/>
        <color theme="1"/>
        <name val="Calibri"/>
        <family val="2"/>
        <scheme val="none"/>
      </font>
      <alignment horizontal="center" vertical="center" textRotation="0" wrapText="1" indent="0" justifyLastLine="0" shrinkToFit="0" readingOrder="0"/>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numFmt numFmtId="0" formatCode="General"/>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fill>
        <patternFill patternType="none">
          <fgColor indexed="64"/>
          <bgColor auto="1"/>
        </patternFill>
      </fill>
    </dxf>
    <dxf>
      <font>
        <b val="0"/>
        <i val="0"/>
        <strike val="0"/>
        <condense val="0"/>
        <extend val="0"/>
        <outline val="0"/>
        <shadow val="0"/>
        <u val="none"/>
        <vertAlign val="baseline"/>
        <sz val="12"/>
        <color theme="1"/>
        <name val="Calibri"/>
        <family val="2"/>
        <scheme val="none"/>
      </font>
    </dxf>
    <dxf>
      <font>
        <b val="0"/>
        <i val="0"/>
        <strike val="0"/>
        <condense val="0"/>
        <extend val="0"/>
        <outline val="0"/>
        <shadow val="0"/>
        <u val="none"/>
        <vertAlign val="baseline"/>
        <sz val="12"/>
        <color theme="1"/>
        <name val="Calibr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E57552F-D026-4EAF-97C3-52DD25EAFC9C}" name="表格1" displayName="表格1" ref="B3:R262" totalsRowShown="0" headerRowDxfId="48" dataDxfId="47">
  <autoFilter ref="B3:R262" xr:uid="{DE57552F-D026-4EAF-97C3-52DD25EAFC9C}"/>
  <sortState xmlns:xlrd2="http://schemas.microsoft.com/office/spreadsheetml/2017/richdata2" ref="B4:N97">
    <sortCondition ref="C3:C97"/>
  </sortState>
  <tableColumns count="17">
    <tableColumn id="3" xr3:uid="{9F4CF7F5-2A93-4AB2-B6A9-ADD9938F5AA8}" name="ID" dataDxfId="46"/>
    <tableColumn id="1" xr3:uid="{2F06CBD1-1A4C-4DC5-BCE4-F3C9A79DC3E9}" name="Cuisine" dataDxfId="45"/>
    <tableColumn id="2" xr3:uid="{7EC406AA-A572-4016-9E5B-51B700036584}" name="Diet" dataDxfId="44"/>
    <tableColumn id="9" xr3:uid="{D9CE8FCA-CFAD-4F3F-8F01-0C4484946BEA}" name="Dish" dataDxfId="43"/>
    <tableColumn id="11" xr3:uid="{48317EB9-9AFB-4DFD-A9A3-9456EBB1E555}" name="Dish_En" dataDxfId="42">
      <calculatedColumnFormula>_xlfn.XLOOKUP(表格1[[#This Row],[Dish]],dish_trans!A:A,dish_trans!B:B)</calculatedColumnFormula>
    </tableColumn>
    <tableColumn id="14" xr3:uid="{56552FA7-6E3E-4F2F-97CD-B870C6F568D7}" name="Dish_Fil" dataDxfId="1">
      <calculatedColumnFormula>_xlfn.XLOOKUP(表格1[[#This Row],[Dish]],dish_trans[中文菜名 (Chinese)],dish_trans[菲律賓文翻譯 (Filipino/Tagalog)])</calculatedColumnFormula>
    </tableColumn>
    <tableColumn id="16" xr3:uid="{36B09B90-A363-4ED0-9109-EF1E6A344CD0}" name="Dish_Id" dataDxfId="0">
      <calculatedColumnFormula>_xlfn.XLOOKUP(表格1[[#This Row],[Dish]],dish_trans[中文菜名 (Chinese)],dish_trans[印尼文翻譯 (Indonesian)2])</calculatedColumnFormula>
    </tableColumn>
    <tableColumn id="10" xr3:uid="{673F4675-BEEE-412A-A6CB-20E6D1E799D8}" name="Breakfast" dataDxfId="41"/>
    <tableColumn id="12" xr3:uid="{D37C5B0D-12C6-4CB3-BB80-08C12E6E49B6}" name="Lunch" dataDxfId="40"/>
    <tableColumn id="13" xr3:uid="{E25F656B-1F18-455E-87D7-5C9D9B0097A5}" name="Dinner" dataDxfId="39"/>
    <tableColumn id="17" xr3:uid="{BA985DFD-A4E6-404F-8823-002672B31C18}" name="Light Meal" dataDxfId="38"/>
    <tableColumn id="5" xr3:uid="{A034FE6E-ED0A-4EFB-8D1C-030735AED3C9}" name="Main Protein" dataDxfId="37"/>
    <tableColumn id="6" xr3:uid="{AA4E79D0-DAC8-43FF-A045-39E8C3C9F5CD}" name="Dish Role" dataDxfId="36"/>
    <tableColumn id="15" xr3:uid="{3C0D36C0-00D9-469A-9A08-C9CBF82D88AE}" name="Taste" dataDxfId="35"/>
    <tableColumn id="7" xr3:uid="{23809AC8-474B-40F8-84CF-2D42F7BE1C9D}" name="Expire(day)" dataDxfId="34"/>
    <tableColumn id="8" xr3:uid="{FA20BD4E-AF4A-4273-8F29-845E2CF561A3}" name="Season" dataDxfId="33"/>
    <tableColumn id="4" xr3:uid="{63A3F435-6F07-4F3F-B146-E824E495A1E4}" name="Credit to"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96439F3-B3A1-473D-9915-B886E9B53018}" name="Ingredient" displayName="Ingredient" ref="A1:F263" totalsRowShown="0" headerRowDxfId="31" dataDxfId="30">
  <autoFilter ref="A1:F263" xr:uid="{F96439F3-B3A1-473D-9915-B886E9B53018}"/>
  <tableColumns count="6">
    <tableColumn id="6" xr3:uid="{58A7CCA8-AF26-4A8B-A664-D4C96E7F3BA0}" name="菜名" dataDxfId="29">
      <calculatedColumnFormula>_xlfn.XLOOKUP(B2,表格1[ID],表格1[Dish])</calculatedColumnFormula>
    </tableColumn>
    <tableColumn id="1" xr3:uid="{A6A630D5-6539-4FF3-B245-912977C8CE8E}" name="菜ID" dataDxfId="28"/>
    <tableColumn id="2" xr3:uid="{7FF92CF3-2FA9-443E-A760-2445AFCE472F}" name="類別" dataDxfId="27"/>
    <tableColumn id="3" xr3:uid="{B6463011-9D01-408A-B1FD-EFFF47425583}" name="材料" dataDxfId="26"/>
    <tableColumn id="4" xr3:uid="{D7F5CA09-47D7-42CF-A952-E2A34C8C4E30}" name="份量" dataDxfId="25"/>
    <tableColumn id="5" xr3:uid="{5A3FFFB1-F501-42BF-9602-AEB98CE8DA0C}" name="單位" dataDxfId="24"/>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074EDE5-B150-4BED-8B77-BE077FDDFB58}" name="Steps" displayName="Steps" ref="A1:G128" totalsRowShown="0" headerRowDxfId="23" dataDxfId="22">
  <autoFilter ref="A1:G128" xr:uid="{2074EDE5-B150-4BED-8B77-BE077FDDFB58}"/>
  <tableColumns count="7">
    <tableColumn id="7" xr3:uid="{8937EE16-F967-45A6-AF51-C240F6B491BF}" name="菜名" dataDxfId="21">
      <calculatedColumnFormula>_xlfn.XLOOKUP(B2,表格1[ID],表格1[Dish])</calculatedColumnFormula>
    </tableColumn>
    <tableColumn id="1" xr3:uid="{AC7DEC1F-B731-454F-AA1D-E750167F5368}" name="菜ID" dataDxfId="20"/>
    <tableColumn id="2" xr3:uid="{2744473D-171F-4C43-A114-19D6A681227C}" name="步驟" dataDxfId="19"/>
    <tableColumn id="3" xr3:uid="{20B9130A-A6FF-4BB1-87D8-CC9721812699}" name="內容" dataDxfId="18"/>
    <tableColumn id="4" xr3:uid="{411CC2E6-8569-4ECA-98BF-CCC04F47DC15}" name="Step_EN" dataDxfId="17">
      <calculatedColumnFormula>_xlfn.TRANSLATE(Steps[[#This Row],[內容]],"zh-cht","en")</calculatedColumnFormula>
    </tableColumn>
    <tableColumn id="5" xr3:uid="{22A65150-E75D-4C7D-8847-4B10A2AB24D8}" name="Step_FIL" dataDxfId="16">
      <calculatedColumnFormula>_xlfn.TRANSLATE(Steps[[#This Row],[內容]],"zh-cht","fil")</calculatedColumnFormula>
    </tableColumn>
    <tableColumn id="6" xr3:uid="{35BFC7E5-F93E-4F1D-8329-895464FC606A}" name="Step_ID" dataDxfId="15">
      <calculatedColumnFormula>_xlfn.TRANSLATE(Steps[[#This Row],[內容]],"zh-cht","id")</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B73EB78-A9E2-4560-A3F8-B02077E7EB70}" name="ingredient_unit" displayName="ingredient_unit" ref="A3:D122" totalsRowShown="0" headerRowDxfId="14" dataDxfId="13">
  <autoFilter ref="A3:D122" xr:uid="{9B73EB78-A9E2-4560-A3F8-B02077E7EB70}"/>
  <sortState xmlns:xlrd2="http://schemas.microsoft.com/office/spreadsheetml/2017/richdata2" ref="A4:D52">
    <sortCondition ref="A3:A52"/>
  </sortState>
  <tableColumns count="4">
    <tableColumn id="1" xr3:uid="{D45EE57C-5C1F-42B3-A305-D4C61E8DF2E9}" name="材料"/>
    <tableColumn id="2" xr3:uid="{C40C7E82-CCDD-408C-84C3-2A14B1ABC4C5}" name="英文" dataDxfId="12"/>
    <tableColumn id="3" xr3:uid="{6E0DB701-5A73-4C5B-A78A-67E14A93CA5C}" name="Filipino" dataDxfId="11">
      <calculatedColumnFormula>_xlfn.TRANSLATE(ingredient_unit[[#This Row],[材料]],"zh-cht","fil")</calculatedColumnFormula>
    </tableColumn>
    <tableColumn id="4" xr3:uid="{DB27FC22-78DB-4C93-BC55-A2A340CDB570}" name="Bahasa" dataDxfId="10">
      <calculatedColumnFormula>_xlfn.TRANSLATE(ingredient_unit[[#This Row],[材料]],"zh-cht","id")</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59BC1D3-AF96-4A7D-9201-B82C3E2A3941}" name="dish_trans" displayName="dish_trans" ref="A2:E261" totalsRowShown="0" headerRowDxfId="9" dataDxfId="8" tableBorderDxfId="7" headerRowCellStyle="一般 2" dataCellStyle="一般 2">
  <autoFilter ref="A2:E261" xr:uid="{059BC1D3-AF96-4A7D-9201-B82C3E2A3941}"/>
  <tableColumns count="5">
    <tableColumn id="1" xr3:uid="{3535A58E-5B28-45FC-AF40-AF51B12786DE}" name="中文菜名 (Chinese)" dataDxfId="6" dataCellStyle="一般 2"/>
    <tableColumn id="2" xr3:uid="{58B009E2-6197-403E-A791-55801ED6E828}" name="英文翻譯 (English)" dataDxfId="5" dataCellStyle="一般 2"/>
    <tableColumn id="3" xr3:uid="{6EB342FC-BE37-4065-8E9D-EF11E1C79379}" name="菲律賓文翻譯 (Filipino/Tagalog)" dataDxfId="4" dataCellStyle="一般 2"/>
    <tableColumn id="4" xr3:uid="{72632F05-E38E-4BF7-A1F0-77A374F3CF9D}" name="印尼文翻譯 (Indonesian)2" dataDxfId="3" dataCellStyle="一般 2"/>
    <tableColumn id="5" xr3:uid="{FD7F2272-2526-4CE4-AE21-F64A81B07F30}" name="欄1" dataDxfId="2" dataCellStyle="一般 2"/>
  </tableColumns>
  <tableStyleInfo name="TableStyleMedium2"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2.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412AC-E9BF-454E-9D30-1552A11FEC1A}">
  <dimension ref="A1:T262"/>
  <sheetViews>
    <sheetView tabSelected="1" zoomScale="85" zoomScaleNormal="85" workbookViewId="0">
      <pane ySplit="3" topLeftCell="A4" activePane="bottomLeft" state="frozen"/>
      <selection pane="bottomLeft" activeCell="H5" sqref="H5"/>
    </sheetView>
  </sheetViews>
  <sheetFormatPr defaultRowHeight="17" x14ac:dyDescent="0.4"/>
  <cols>
    <col min="1" max="1" width="8.7265625" style="1"/>
    <col min="2" max="2" width="11" style="1" bestFit="1" customWidth="1"/>
    <col min="3" max="3" width="10.1796875" style="1" bestFit="1" customWidth="1"/>
    <col min="4" max="4" width="10" style="1" bestFit="1" customWidth="1"/>
    <col min="5" max="5" width="31.54296875" style="1" customWidth="1"/>
    <col min="6" max="8" width="16.453125" style="1" customWidth="1"/>
    <col min="9" max="9" width="12.6328125" style="1" bestFit="1" customWidth="1"/>
    <col min="10" max="11" width="10" style="1" customWidth="1"/>
    <col min="12" max="12" width="13.08984375" style="1" bestFit="1" customWidth="1"/>
    <col min="13" max="13" width="13.453125" style="1" bestFit="1" customWidth="1"/>
    <col min="14" max="14" width="10.54296875" style="1" bestFit="1" customWidth="1"/>
    <col min="15" max="16" width="8.7265625" style="1"/>
    <col min="17" max="17" width="13.36328125" style="1" bestFit="1" customWidth="1"/>
    <col min="18" max="18" width="26.54296875" style="1" bestFit="1" customWidth="1"/>
    <col min="20" max="16384" width="8.7265625" style="1"/>
  </cols>
  <sheetData>
    <row r="1" spans="1:18" x14ac:dyDescent="0.4">
      <c r="A1" s="44" t="s">
        <v>327</v>
      </c>
      <c r="B1" s="44"/>
      <c r="C1" s="1" t="s">
        <v>0</v>
      </c>
      <c r="D1" s="5" t="s">
        <v>112</v>
      </c>
      <c r="E1" s="1" t="s">
        <v>2</v>
      </c>
      <c r="I1" s="43" t="s">
        <v>20</v>
      </c>
      <c r="J1" s="43"/>
      <c r="K1" s="43"/>
      <c r="L1" s="43"/>
      <c r="M1" s="2" t="s">
        <v>118</v>
      </c>
      <c r="N1" s="2" t="s">
        <v>119</v>
      </c>
      <c r="O1" s="2" t="s">
        <v>540</v>
      </c>
      <c r="Q1" s="2" t="s">
        <v>114</v>
      </c>
      <c r="R1" s="2"/>
    </row>
    <row r="2" spans="1:18" x14ac:dyDescent="0.4">
      <c r="A2" s="9" t="str">
        <f>COUNTA(A4:A596) &amp;"/"&amp;COUNTA(表格1[ID])</f>
        <v>35/259</v>
      </c>
      <c r="L2" s="2"/>
    </row>
    <row r="3" spans="1:18" x14ac:dyDescent="0.4">
      <c r="B3" s="1" t="s">
        <v>695</v>
      </c>
      <c r="C3" s="1" t="s">
        <v>696</v>
      </c>
      <c r="D3" s="4" t="s">
        <v>111</v>
      </c>
      <c r="E3" s="15" t="s">
        <v>1</v>
      </c>
      <c r="F3" s="15" t="s">
        <v>1281</v>
      </c>
      <c r="G3" s="15" t="s">
        <v>2361</v>
      </c>
      <c r="H3" s="15" t="s">
        <v>2362</v>
      </c>
      <c r="I3" s="3" t="s">
        <v>21</v>
      </c>
      <c r="J3" s="3" t="s">
        <v>22</v>
      </c>
      <c r="K3" s="3" t="s">
        <v>23</v>
      </c>
      <c r="L3" s="3" t="s">
        <v>109</v>
      </c>
      <c r="M3" s="1" t="s">
        <v>123</v>
      </c>
      <c r="N3" s="1" t="s">
        <v>122</v>
      </c>
      <c r="O3" s="1" t="s">
        <v>541</v>
      </c>
      <c r="P3" s="1" t="s">
        <v>523</v>
      </c>
      <c r="Q3" s="1" t="s">
        <v>113</v>
      </c>
      <c r="R3" s="1" t="s">
        <v>690</v>
      </c>
    </row>
    <row r="4" spans="1:18" x14ac:dyDescent="0.4">
      <c r="A4" s="33" t="s">
        <v>125</v>
      </c>
      <c r="B4" s="1" t="s">
        <v>125</v>
      </c>
      <c r="C4" s="1" t="s">
        <v>3</v>
      </c>
      <c r="D4" s="2" t="s">
        <v>110</v>
      </c>
      <c r="E4" s="1" t="s">
        <v>4</v>
      </c>
      <c r="F4" s="1" t="str">
        <f>_xlfn.XLOOKUP(表格1[[#This Row],[Dish]],dish_trans!A:A,dish_trans!B:B)</f>
        <v>Steamed Pork Patty with Oats</v>
      </c>
      <c r="G4" s="1" t="str">
        <f>_xlfn.XLOOKUP(表格1[[#This Row],[Dish]],dish_trans[中文菜名 (Chinese)],dish_trans[菲律賓文翻譯 (Filipino/Tagalog)])</f>
        <v>Pinasingawang Giniling na Baboy na may Oats</v>
      </c>
      <c r="H4" s="1" t="str">
        <f>_xlfn.XLOOKUP(表格1[[#This Row],[Dish]],dish_trans[中文菜名 (Chinese)],dish_trans[印尼文翻譯 (Indonesian)2])</f>
        <v>Daging Babi Cincang Kukus dengan Oat</v>
      </c>
      <c r="I4" s="1" t="s">
        <v>548</v>
      </c>
      <c r="J4" s="1" t="s">
        <v>6</v>
      </c>
      <c r="K4" s="1" t="s">
        <v>6</v>
      </c>
      <c r="L4" s="1" t="s">
        <v>7</v>
      </c>
      <c r="M4" s="2" t="s">
        <v>226</v>
      </c>
      <c r="N4" s="2" t="s">
        <v>225</v>
      </c>
      <c r="O4" s="1" t="s">
        <v>544</v>
      </c>
      <c r="Q4" s="2" t="s">
        <v>115</v>
      </c>
    </row>
    <row r="5" spans="1:18" x14ac:dyDescent="0.4">
      <c r="B5" s="1" t="s">
        <v>126</v>
      </c>
      <c r="C5" s="1" t="s">
        <v>3</v>
      </c>
      <c r="D5" s="1" t="s">
        <v>17</v>
      </c>
      <c r="E5" s="1" t="s">
        <v>8</v>
      </c>
      <c r="F5" s="1" t="str">
        <f>_xlfn.XLOOKUP(表格1[[#This Row],[Dish]],dish_trans!A:A,dish_trans!B:B)</f>
        <v>Steamed Egg Custard</v>
      </c>
      <c r="G5" s="1" t="str">
        <f>_xlfn.XLOOKUP(表格1[[#This Row],[Dish]],dish_trans[中文菜名 (Chinese)],dish_trans[菲律賓文翻譯 (Filipino/Tagalog)])</f>
        <v>Pinasingawang Itlog</v>
      </c>
      <c r="H5" s="1" t="str">
        <f>_xlfn.XLOOKUP(表格1[[#This Row],[Dish]],dish_trans[中文菜名 (Chinese)],dish_trans[印尼文翻譯 (Indonesian)2])</f>
        <v>Telur Kukus</v>
      </c>
      <c r="I5" s="1" t="s">
        <v>548</v>
      </c>
      <c r="J5" s="1" t="s">
        <v>6</v>
      </c>
      <c r="K5" s="1" t="s">
        <v>6</v>
      </c>
      <c r="L5" s="1" t="s">
        <v>7</v>
      </c>
      <c r="M5" s="2" t="s">
        <v>227</v>
      </c>
      <c r="N5" s="2" t="s">
        <v>245</v>
      </c>
      <c r="O5" s="1" t="s">
        <v>544</v>
      </c>
      <c r="Q5" s="2" t="s">
        <v>115</v>
      </c>
    </row>
    <row r="6" spans="1:18" x14ac:dyDescent="0.4">
      <c r="B6" s="1" t="s">
        <v>127</v>
      </c>
      <c r="C6" s="1" t="s">
        <v>3</v>
      </c>
      <c r="D6" s="2" t="s">
        <v>110</v>
      </c>
      <c r="E6" s="1" t="s">
        <v>9</v>
      </c>
      <c r="F6" s="1" t="str">
        <f>_xlfn.XLOOKUP(表格1[[#This Row],[Dish]],dish_trans!A:A,dish_trans!B:B)</f>
        <v>Steamed Egg Custard with Minced Pork</v>
      </c>
      <c r="G6" s="1" t="str">
        <f>_xlfn.XLOOKUP(表格1[[#This Row],[Dish]],dish_trans[中文菜名 (Chinese)],dish_trans[菲律賓文翻譯 (Filipino/Tagalog)])</f>
        <v>Pinasingawang Itlog na may Giniling na Baboy</v>
      </c>
      <c r="H6" s="1" t="str">
        <f>_xlfn.XLOOKUP(表格1[[#This Row],[Dish]],dish_trans[中文菜名 (Chinese)],dish_trans[印尼文翻譯 (Indonesian)2])</f>
        <v>Telur Kukus dengan Babi Cincang</v>
      </c>
      <c r="I6" s="1" t="s">
        <v>548</v>
      </c>
      <c r="J6" s="1" t="s">
        <v>6</v>
      </c>
      <c r="K6" s="1" t="s">
        <v>6</v>
      </c>
      <c r="L6" s="1" t="s">
        <v>7</v>
      </c>
      <c r="M6" s="2" t="s">
        <v>227</v>
      </c>
      <c r="N6" s="2" t="s">
        <v>245</v>
      </c>
      <c r="O6" s="1" t="s">
        <v>544</v>
      </c>
      <c r="Q6" s="2" t="s">
        <v>115</v>
      </c>
    </row>
    <row r="7" spans="1:18" x14ac:dyDescent="0.4">
      <c r="B7" s="1" t="s">
        <v>128</v>
      </c>
      <c r="C7" s="1" t="s">
        <v>3</v>
      </c>
      <c r="D7" s="2" t="s">
        <v>110</v>
      </c>
      <c r="E7" s="6" t="s">
        <v>2312</v>
      </c>
      <c r="F7" s="1" t="str">
        <f>_xlfn.XLOOKUP(表格1[[#This Row],[Dish]],dish_trans!A:A,dish_trans!B:B)</f>
        <v>Stir-fried Clams with Black Beans and Peppers</v>
      </c>
      <c r="G7" s="1" t="str">
        <f>_xlfn.XLOOKUP(表格1[[#This Row],[Dish]],dish_trans[中文菜名 (Chinese)],dish_trans[菲律賓文翻譯 (Filipino/Tagalog)])</f>
        <v>Ginisang Tulya na may Tausi at Sili</v>
      </c>
      <c r="H7" s="1" t="str">
        <f>_xlfn.XLOOKUP(表格1[[#This Row],[Dish]],dish_trans[中文菜名 (Chinese)],dish_trans[印尼文翻譯 (Indonesian)2])</f>
        <v>Kerang Tumis dengan Kacang Hitam Fermentasi dan Paprika</v>
      </c>
      <c r="I7" s="1" t="s">
        <v>548</v>
      </c>
      <c r="J7" s="1" t="s">
        <v>7</v>
      </c>
      <c r="K7" s="1" t="s">
        <v>6</v>
      </c>
      <c r="L7" s="1" t="s">
        <v>7</v>
      </c>
      <c r="M7" s="2" t="s">
        <v>228</v>
      </c>
      <c r="N7" s="2" t="s">
        <v>225</v>
      </c>
      <c r="O7" s="1" t="s">
        <v>542</v>
      </c>
      <c r="P7" s="1">
        <v>1</v>
      </c>
      <c r="Q7" s="2" t="s">
        <v>115</v>
      </c>
    </row>
    <row r="8" spans="1:18" x14ac:dyDescent="0.4">
      <c r="B8" s="1" t="s">
        <v>129</v>
      </c>
      <c r="C8" s="1" t="s">
        <v>3</v>
      </c>
      <c r="D8" s="2" t="s">
        <v>110</v>
      </c>
      <c r="E8" s="6" t="s">
        <v>10</v>
      </c>
      <c r="F8" s="1" t="str">
        <f>_xlfn.XLOOKUP(表格1[[#This Row],[Dish]],dish_trans!A:A,dish_trans!B:B)</f>
        <v>Steamed Qinggen Fish with Preserved Tianjin Cabbage</v>
      </c>
      <c r="G8" s="1" t="str">
        <f>_xlfn.XLOOKUP(表格1[[#This Row],[Dish]],dish_trans[中文菜名 (Chinese)],dish_trans[菲律賓文翻譯 (Filipino/Tagalog)])</f>
        <v>Pinasingawang Isdang Qinggen na may Inasnan na Repolyo ng Tianjin</v>
      </c>
      <c r="H8" s="1" t="str">
        <f>_xlfn.XLOOKUP(表格1[[#This Row],[Dish]],dish_trans[中文菜名 (Chinese)],dish_trans[印尼文翻譯 (Indonesian)2])</f>
        <v>Ikan Qinggen Kukus dengan Sawi Asin Tianjin</v>
      </c>
      <c r="I8" s="1" t="s">
        <v>548</v>
      </c>
      <c r="J8" s="1" t="s">
        <v>6</v>
      </c>
      <c r="K8" s="1" t="s">
        <v>6</v>
      </c>
      <c r="L8" s="1" t="s">
        <v>7</v>
      </c>
      <c r="M8" s="2" t="s">
        <v>228</v>
      </c>
      <c r="N8" s="2" t="s">
        <v>225</v>
      </c>
      <c r="O8" s="1" t="s">
        <v>544</v>
      </c>
      <c r="Q8" s="2" t="s">
        <v>115</v>
      </c>
    </row>
    <row r="9" spans="1:18" x14ac:dyDescent="0.4">
      <c r="A9" s="33" t="s">
        <v>130</v>
      </c>
      <c r="B9" s="1" t="s">
        <v>130</v>
      </c>
      <c r="C9" s="1" t="s">
        <v>3</v>
      </c>
      <c r="D9" s="2" t="s">
        <v>110</v>
      </c>
      <c r="E9" s="1" t="s">
        <v>13</v>
      </c>
      <c r="F9" s="1" t="str">
        <f>_xlfn.XLOOKUP(表格1[[#This Row],[Dish]],dish_trans!A:A,dish_trans!B:B)</f>
        <v>Mapo Tofu</v>
      </c>
      <c r="G9" s="1" t="str">
        <f>_xlfn.XLOOKUP(表格1[[#This Row],[Dish]],dish_trans[中文菜名 (Chinese)],dish_trans[菲律賓文翻譯 (Filipino/Tagalog)])</f>
        <v>Mapo Tokwa</v>
      </c>
      <c r="H9" s="1" t="str">
        <f>_xlfn.XLOOKUP(表格1[[#This Row],[Dish]],dish_trans[中文菜名 (Chinese)],dish_trans[印尼文翻譯 (Indonesian)2])</f>
        <v>Tahu Mapo</v>
      </c>
      <c r="I9" s="1" t="s">
        <v>548</v>
      </c>
      <c r="J9" s="1" t="s">
        <v>6</v>
      </c>
      <c r="K9" s="1" t="s">
        <v>6</v>
      </c>
      <c r="L9" s="1" t="s">
        <v>7</v>
      </c>
      <c r="M9" s="2" t="s">
        <v>247</v>
      </c>
      <c r="N9" s="2" t="s">
        <v>245</v>
      </c>
      <c r="O9" s="1" t="s">
        <v>542</v>
      </c>
      <c r="P9" s="1">
        <v>2</v>
      </c>
      <c r="Q9" s="2" t="s">
        <v>115</v>
      </c>
    </row>
    <row r="10" spans="1:18" x14ac:dyDescent="0.4">
      <c r="A10" s="33" t="s">
        <v>131</v>
      </c>
      <c r="B10" s="1" t="s">
        <v>131</v>
      </c>
      <c r="C10" s="1" t="s">
        <v>3</v>
      </c>
      <c r="D10" s="1" t="s">
        <v>16</v>
      </c>
      <c r="E10" s="1" t="s">
        <v>14</v>
      </c>
      <c r="F10" s="1" t="str">
        <f>_xlfn.XLOOKUP(表格1[[#This Row],[Dish]],dish_trans!A:A,dish_trans!B:B)</f>
        <v>Steamed Eggplant with Minced Garlic</v>
      </c>
      <c r="G10" s="1" t="str">
        <f>_xlfn.XLOOKUP(表格1[[#This Row],[Dish]],dish_trans[中文菜名 (Chinese)],dish_trans[菲律賓文翻譯 (Filipino/Tagalog)])</f>
        <v>Pinasingawang Talong na may Tinadtad na Bawang</v>
      </c>
      <c r="H10" s="1" t="str">
        <f>_xlfn.XLOOKUP(表格1[[#This Row],[Dish]],dish_trans[中文菜名 (Chinese)],dish_trans[印尼文翻譯 (Indonesian)2])</f>
        <v>Terung Kukus dengan Bawang Putih Cincang</v>
      </c>
      <c r="I10" s="1" t="s">
        <v>548</v>
      </c>
      <c r="J10" s="1" t="s">
        <v>6</v>
      </c>
      <c r="K10" s="1" t="s">
        <v>6</v>
      </c>
      <c r="L10" s="1" t="s">
        <v>7</v>
      </c>
      <c r="M10" s="2" t="s">
        <v>248</v>
      </c>
      <c r="N10" s="2" t="s">
        <v>245</v>
      </c>
      <c r="O10" s="1" t="s">
        <v>546</v>
      </c>
      <c r="Q10" s="2" t="s">
        <v>115</v>
      </c>
    </row>
    <row r="11" spans="1:18" x14ac:dyDescent="0.4">
      <c r="A11" s="33" t="s">
        <v>132</v>
      </c>
      <c r="B11" s="1" t="s">
        <v>132</v>
      </c>
      <c r="C11" s="1" t="s">
        <v>3</v>
      </c>
      <c r="D11" s="1" t="s">
        <v>17</v>
      </c>
      <c r="E11" s="6" t="s">
        <v>15</v>
      </c>
      <c r="F11" s="1" t="str">
        <f>_xlfn.XLOOKUP(表格1[[#This Row],[Dish]],dish_trans!A:A,dish_trans!B:B)</f>
        <v>Spinach with Salted and Century Eggs</v>
      </c>
      <c r="G11" s="1" t="str">
        <f>_xlfn.XLOOKUP(表格1[[#This Row],[Dish]],dish_trans[中文菜名 (Chinese)],dish_trans[菲律賓文翻譯 (Filipino/Tagalog)])</f>
        <v>Espinaka na may Itlog na Maalat at Century Egg</v>
      </c>
      <c r="H11" s="1" t="str">
        <f>_xlfn.XLOOKUP(表格1[[#This Row],[Dish]],dish_trans[中文菜名 (Chinese)],dish_trans[印尼文翻譯 (Indonesian)2])</f>
        <v>Bayam dengan Telur Asin dan Telur Pitan</v>
      </c>
      <c r="I11" s="1" t="s">
        <v>548</v>
      </c>
      <c r="J11" s="1" t="s">
        <v>6</v>
      </c>
      <c r="K11" s="1" t="s">
        <v>6</v>
      </c>
      <c r="L11" s="1" t="s">
        <v>7</v>
      </c>
      <c r="M11" s="2" t="s">
        <v>227</v>
      </c>
      <c r="N11" s="2" t="s">
        <v>463</v>
      </c>
      <c r="O11" s="1" t="s">
        <v>542</v>
      </c>
      <c r="Q11" s="2" t="s">
        <v>115</v>
      </c>
    </row>
    <row r="12" spans="1:18" x14ac:dyDescent="0.4">
      <c r="B12" s="1" t="s">
        <v>133</v>
      </c>
      <c r="C12" s="1" t="s">
        <v>3</v>
      </c>
      <c r="D12" s="1" t="s">
        <v>17</v>
      </c>
      <c r="E12" s="6" t="s">
        <v>30</v>
      </c>
      <c r="F12" s="1" t="str">
        <f>_xlfn.XLOOKUP(表格1[[#This Row],[Dish]],dish_trans!A:A,dish_trans!B:B)</f>
        <v>Sweet Soup with Dried Tofu Skin and Taro Balls</v>
      </c>
      <c r="G12" s="1" t="str">
        <f>_xlfn.XLOOKUP(表格1[[#This Row],[Dish]],dish_trans[中文菜名 (Chinese)],dish_trans[菲律賓文翻譯 (Filipino/Tagalog)])</f>
        <v>Matamis na Sabaw na may Balat ng Tokwa at Bola-bolang Gabi</v>
      </c>
      <c r="H12" s="1" t="str">
        <f>_xlfn.XLOOKUP(表格1[[#This Row],[Dish]],dish_trans[中文菜名 (Chinese)],dish_trans[印尼文翻譯 (Indonesian)2])</f>
        <v>Sup Manis Kulit Tahu dan Bola Talas</v>
      </c>
      <c r="I12" s="1" t="s">
        <v>548</v>
      </c>
      <c r="J12" s="1" t="s">
        <v>7</v>
      </c>
      <c r="K12" s="1" t="s">
        <v>6</v>
      </c>
      <c r="L12" s="1" t="s">
        <v>6</v>
      </c>
      <c r="M12" s="2" t="s">
        <v>247</v>
      </c>
      <c r="N12" s="2" t="s">
        <v>246</v>
      </c>
      <c r="O12" s="1" t="s">
        <v>548</v>
      </c>
      <c r="Q12" s="2" t="s">
        <v>116</v>
      </c>
    </row>
    <row r="13" spans="1:18" x14ac:dyDescent="0.4">
      <c r="A13" s="33" t="s">
        <v>134</v>
      </c>
      <c r="B13" s="1" t="s">
        <v>134</v>
      </c>
      <c r="C13" s="1" t="s">
        <v>3</v>
      </c>
      <c r="D13" s="2" t="s">
        <v>110</v>
      </c>
      <c r="E13" s="6" t="s">
        <v>36</v>
      </c>
      <c r="F13" s="1" t="str">
        <f>_xlfn.XLOOKUP(表格1[[#This Row],[Dish]],dish_trans!A:A,dish_trans!B:B)</f>
        <v>Pan-braised Shucked Oysters with Ginger and Spring Onions</v>
      </c>
      <c r="G13" s="1" t="str">
        <f>_xlfn.XLOOKUP(表格1[[#This Row],[Dish]],dish_trans[中文菜名 (Chinese)],dish_trans[菲律賓文翻譯 (Filipino/Tagalog)])</f>
        <v>Tinalabang Niluto sa Luya at Dahon ng Sibuyas</v>
      </c>
      <c r="H13" s="1" t="str">
        <f>_xlfn.XLOOKUP(表格1[[#This Row],[Dish]],dish_trans[中文菜名 (Chinese)],dish_trans[印尼文翻譯 (Indonesian)2])</f>
        <v>Tiram Kupas Masak Jahe dan Daun Bawang</v>
      </c>
      <c r="I13" s="1" t="s">
        <v>548</v>
      </c>
      <c r="J13" s="1" t="s">
        <v>7</v>
      </c>
      <c r="K13" s="1" t="s">
        <v>6</v>
      </c>
      <c r="L13" s="1" t="s">
        <v>7</v>
      </c>
      <c r="M13" s="2" t="s">
        <v>228</v>
      </c>
      <c r="N13" s="2" t="s">
        <v>225</v>
      </c>
      <c r="O13" s="1" t="s">
        <v>542</v>
      </c>
      <c r="Q13" s="2" t="s">
        <v>116</v>
      </c>
    </row>
    <row r="14" spans="1:18" x14ac:dyDescent="0.4">
      <c r="A14" s="33" t="s">
        <v>135</v>
      </c>
      <c r="B14" s="1" t="s">
        <v>135</v>
      </c>
      <c r="C14" s="1" t="s">
        <v>3</v>
      </c>
      <c r="D14" s="2" t="s">
        <v>110</v>
      </c>
      <c r="E14" s="6" t="s">
        <v>37</v>
      </c>
      <c r="F14" s="1" t="str">
        <f>_xlfn.XLOOKUP(表格1[[#This Row],[Dish]],dish_trans!A:A,dish_trans!B:B)</f>
        <v>Bandit-style Chicken Wings</v>
      </c>
      <c r="G14" s="1" t="str">
        <f>_xlfn.XLOOKUP(表格1[[#This Row],[Dish]],dish_trans[中文菜名 (Chinese)],dish_trans[菲律賓文翻譯 (Filipino/Tagalog)])</f>
        <v>Pakpak ng Manok na Estilong Bandido</v>
      </c>
      <c r="H14" s="1" t="str">
        <f>_xlfn.XLOOKUP(表格1[[#This Row],[Dish]],dish_trans[中文菜名 (Chinese)],dish_trans[印尼文翻譯 (Indonesian)2])</f>
        <v>Sayap Ayam ala Bandit</v>
      </c>
      <c r="I14" s="1" t="s">
        <v>548</v>
      </c>
      <c r="J14" s="1" t="s">
        <v>6</v>
      </c>
      <c r="K14" s="1" t="s">
        <v>6</v>
      </c>
      <c r="L14" s="1" t="s">
        <v>7</v>
      </c>
      <c r="M14" s="2" t="s">
        <v>229</v>
      </c>
      <c r="N14" s="2" t="s">
        <v>245</v>
      </c>
      <c r="O14" s="1" t="s">
        <v>542</v>
      </c>
      <c r="Q14" s="2" t="s">
        <v>115</v>
      </c>
    </row>
    <row r="15" spans="1:18" x14ac:dyDescent="0.4">
      <c r="A15" s="33" t="s">
        <v>136</v>
      </c>
      <c r="B15" s="1" t="s">
        <v>136</v>
      </c>
      <c r="C15" s="1" t="s">
        <v>3</v>
      </c>
      <c r="D15" s="1" t="s">
        <v>16</v>
      </c>
      <c r="E15" s="6" t="s">
        <v>38</v>
      </c>
      <c r="F15" s="1" t="str">
        <f>_xlfn.XLOOKUP(表格1[[#This Row],[Dish]],dish_trans!A:A,dish_trans!B:B)</f>
        <v>Cold Wood Ear Mushroom Salad</v>
      </c>
      <c r="G15" s="1" t="str">
        <f>_xlfn.XLOOKUP(表格1[[#This Row],[Dish]],dish_trans[中文菜名 (Chinese)],dish_trans[菲律賓文翻譯 (Filipino/Tagalog)])</f>
        <v>Malamig na Salad ng Kabuteng Tenga</v>
      </c>
      <c r="H15" s="1" t="str">
        <f>_xlfn.XLOOKUP(表格1[[#This Row],[Dish]],dish_trans[中文菜名 (Chinese)],dish_trans[印尼文翻譯 (Indonesian)2])</f>
        <v>Salad Jamur Kuping Dingin</v>
      </c>
      <c r="I15" s="1" t="s">
        <v>548</v>
      </c>
      <c r="J15" s="1" t="s">
        <v>6</v>
      </c>
      <c r="K15" s="1" t="s">
        <v>6</v>
      </c>
      <c r="L15" s="1" t="s">
        <v>7</v>
      </c>
      <c r="M15" s="2" t="s">
        <v>248</v>
      </c>
      <c r="N15" s="2" t="s">
        <v>245</v>
      </c>
      <c r="O15" s="1" t="s">
        <v>542</v>
      </c>
      <c r="Q15" s="2" t="s">
        <v>117</v>
      </c>
    </row>
    <row r="16" spans="1:18" x14ac:dyDescent="0.4">
      <c r="A16" s="33" t="s">
        <v>137</v>
      </c>
      <c r="B16" s="1" t="s">
        <v>137</v>
      </c>
      <c r="C16" s="1" t="s">
        <v>3</v>
      </c>
      <c r="D16" s="1" t="s">
        <v>16</v>
      </c>
      <c r="E16" s="6" t="s">
        <v>39</v>
      </c>
      <c r="F16" s="1" t="str">
        <f>_xlfn.XLOOKUP(表格1[[#This Row],[Dish]],dish_trans!A:A,dish_trans!B:B)</f>
        <v>Smashed Cucumber Salad</v>
      </c>
      <c r="G16" s="1" t="str">
        <f>_xlfn.XLOOKUP(表格1[[#This Row],[Dish]],dish_trans[中文菜名 (Chinese)],dish_trans[菲律賓文翻譯 (Filipino/Tagalog)])</f>
        <v>Salad ng Pinukpok na Pipino</v>
      </c>
      <c r="H16" s="1" t="str">
        <f>_xlfn.XLOOKUP(表格1[[#This Row],[Dish]],dish_trans[中文菜名 (Chinese)],dish_trans[印尼文翻譯 (Indonesian)2])</f>
        <v>Salad Mentimun Geprek</v>
      </c>
      <c r="I16" s="1" t="s">
        <v>548</v>
      </c>
      <c r="J16" s="1" t="s">
        <v>6</v>
      </c>
      <c r="K16" s="1" t="s">
        <v>6</v>
      </c>
      <c r="L16" s="1" t="s">
        <v>7</v>
      </c>
      <c r="M16" s="2" t="s">
        <v>248</v>
      </c>
      <c r="N16" s="2" t="s">
        <v>245</v>
      </c>
      <c r="O16" s="1" t="s">
        <v>544</v>
      </c>
      <c r="Q16" s="2" t="s">
        <v>117</v>
      </c>
    </row>
    <row r="17" spans="1:17" x14ac:dyDescent="0.4">
      <c r="A17" s="33" t="s">
        <v>138</v>
      </c>
      <c r="B17" s="1" t="s">
        <v>138</v>
      </c>
      <c r="C17" s="1" t="s">
        <v>3</v>
      </c>
      <c r="D17" s="2" t="s">
        <v>110</v>
      </c>
      <c r="E17" s="6" t="s">
        <v>1291</v>
      </c>
      <c r="F17" s="1" t="str">
        <f>_xlfn.XLOOKUP(表格1[[#This Row],[Dish]],dish_trans!A:A,dish_trans!B:B)</f>
        <v>Cold Shredded Chicken Salad</v>
      </c>
      <c r="G17" s="1" t="str">
        <f>_xlfn.XLOOKUP(表格1[[#This Row],[Dish]],dish_trans[中文菜名 (Chinese)],dish_trans[菲律賓文翻譯 (Filipino/Tagalog)])</f>
        <v>Malamig na Salad ng Hinimay na Manok</v>
      </c>
      <c r="H17" s="1" t="str">
        <f>_xlfn.XLOOKUP(表格1[[#This Row],[Dish]],dish_trans[中文菜名 (Chinese)],dish_trans[印尼文翻譯 (Indonesian)2])</f>
        <v>Salad Ayam Suwir Dingin</v>
      </c>
      <c r="I17" s="1" t="s">
        <v>548</v>
      </c>
      <c r="J17" s="1" t="s">
        <v>6</v>
      </c>
      <c r="K17" s="1" t="s">
        <v>6</v>
      </c>
      <c r="L17" s="1" t="s">
        <v>7</v>
      </c>
      <c r="M17" s="2" t="s">
        <v>229</v>
      </c>
      <c r="N17" s="2" t="s">
        <v>245</v>
      </c>
      <c r="O17" s="1" t="s">
        <v>542</v>
      </c>
      <c r="Q17" s="2" t="s">
        <v>117</v>
      </c>
    </row>
    <row r="18" spans="1:17" x14ac:dyDescent="0.4">
      <c r="B18" s="1" t="s">
        <v>139</v>
      </c>
      <c r="C18" s="1" t="s">
        <v>3</v>
      </c>
      <c r="D18" s="2" t="s">
        <v>110</v>
      </c>
      <c r="E18" s="6" t="s">
        <v>40</v>
      </c>
      <c r="F18" s="1" t="str">
        <f>_xlfn.XLOOKUP(表格1[[#This Row],[Dish]],dish_trans!A:A,dish_trans!B:B)</f>
        <v>Yin-nourishing and Stomach-supporting Soup</v>
      </c>
      <c r="G18" s="1" t="str">
        <f>_xlfn.XLOOKUP(表格1[[#This Row],[Dish]],dish_trans[中文菜名 (Chinese)],dish_trans[菲律賓文翻譯 (Filipino/Tagalog)])</f>
        <v>Sabaw para sa Yin at Sikmura</v>
      </c>
      <c r="H18" s="1" t="str">
        <f>_xlfn.XLOOKUP(表格1[[#This Row],[Dish]],dish_trans[中文菜名 (Chinese)],dish_trans[印尼文翻譯 (Indonesian)2])</f>
        <v>Sup Penutrisi Yin dan Pendukung Lambung</v>
      </c>
      <c r="I18" s="1" t="s">
        <v>548</v>
      </c>
      <c r="J18" s="1" t="s">
        <v>7</v>
      </c>
      <c r="K18" s="1" t="s">
        <v>6</v>
      </c>
      <c r="L18" s="1" t="s">
        <v>7</v>
      </c>
      <c r="M18" s="2" t="s">
        <v>226</v>
      </c>
      <c r="N18" s="2" t="s">
        <v>460</v>
      </c>
      <c r="O18" s="1" t="s">
        <v>548</v>
      </c>
    </row>
    <row r="19" spans="1:17" x14ac:dyDescent="0.4">
      <c r="B19" s="1" t="s">
        <v>140</v>
      </c>
      <c r="C19" s="1" t="s">
        <v>3</v>
      </c>
      <c r="D19" s="2" t="s">
        <v>110</v>
      </c>
      <c r="E19" s="6" t="s">
        <v>1294</v>
      </c>
      <c r="F19" s="1" t="str">
        <f>_xlfn.XLOOKUP(表格1[[#This Row],[Dish]],dish_trans!A:A,dish_trans!B:B)</f>
        <v>Chinese Yam, Corn and Chestnut Soup</v>
      </c>
      <c r="G19" s="1" t="str">
        <f>_xlfn.XLOOKUP(表格1[[#This Row],[Dish]],dish_trans[中文菜名 (Chinese)],dish_trans[菲律賓文翻譯 (Filipino/Tagalog)])</f>
        <v>Sabaw ng Chinese Yam, Mais at Kastanyas</v>
      </c>
      <c r="H19" s="1" t="str">
        <f>_xlfn.XLOOKUP(表格1[[#This Row],[Dish]],dish_trans[中文菜名 (Chinese)],dish_trans[印尼文翻譯 (Indonesian)2])</f>
        <v>Sup Ubi Cina, Jagung dan Kastanya</v>
      </c>
      <c r="I19" s="1" t="s">
        <v>548</v>
      </c>
      <c r="J19" s="1" t="s">
        <v>7</v>
      </c>
      <c r="K19" s="1" t="s">
        <v>6</v>
      </c>
      <c r="L19" s="1" t="s">
        <v>7</v>
      </c>
      <c r="M19" s="2" t="s">
        <v>226</v>
      </c>
      <c r="N19" s="2" t="s">
        <v>460</v>
      </c>
      <c r="O19" s="1" t="s">
        <v>548</v>
      </c>
    </row>
    <row r="20" spans="1:17" x14ac:dyDescent="0.4">
      <c r="B20" s="1" t="s">
        <v>141</v>
      </c>
      <c r="C20" s="1" t="s">
        <v>3</v>
      </c>
      <c r="D20" s="2" t="s">
        <v>110</v>
      </c>
      <c r="E20" s="6" t="s">
        <v>41</v>
      </c>
      <c r="F20" s="1" t="str">
        <f>_xlfn.XLOOKUP(表格1[[#This Row],[Dish]],dish_trans!A:A,dish_trans!B:B)</f>
        <v>Fish Lip Soup for Yin Nourishment and Beauty</v>
      </c>
      <c r="G20" s="1" t="str">
        <f>_xlfn.XLOOKUP(表格1[[#This Row],[Dish]],dish_trans[中文菜名 (Chinese)],dish_trans[菲律賓文翻譯 (Filipino/Tagalog)])</f>
        <v>Sabaw ng Labi ng Isda para sa Yin at Kagandahan</v>
      </c>
      <c r="H20" s="1" t="str">
        <f>_xlfn.XLOOKUP(表格1[[#This Row],[Dish]],dish_trans[中文菜名 (Chinese)],dish_trans[印尼文翻譯 (Indonesian)2])</f>
        <v>Sup Bibir Ikan untuk Menutrisi Yin dan Kecantikan</v>
      </c>
      <c r="I20" s="1" t="s">
        <v>548</v>
      </c>
      <c r="J20" s="1" t="s">
        <v>7</v>
      </c>
      <c r="K20" s="1" t="s">
        <v>6</v>
      </c>
      <c r="L20" s="1" t="s">
        <v>7</v>
      </c>
      <c r="M20" s="2" t="s">
        <v>226</v>
      </c>
      <c r="N20" s="2" t="s">
        <v>460</v>
      </c>
      <c r="O20" s="1" t="s">
        <v>548</v>
      </c>
    </row>
    <row r="21" spans="1:17" x14ac:dyDescent="0.4">
      <c r="B21" s="1" t="s">
        <v>142</v>
      </c>
      <c r="C21" s="1" t="s">
        <v>3</v>
      </c>
      <c r="D21" s="2" t="s">
        <v>110</v>
      </c>
      <c r="E21" s="1" t="s">
        <v>42</v>
      </c>
      <c r="F21" s="1" t="str">
        <f>_xlfn.XLOOKUP(表格1[[#This Row],[Dish]],dish_trans!A:A,dish_trans!B:B)</f>
        <v>Agaricus Mushroom Soup for Nourishing the Heart and Calming the Mind</v>
      </c>
      <c r="G21" s="1" t="str">
        <f>_xlfn.XLOOKUP(表格1[[#This Row],[Dish]],dish_trans[中文菜名 (Chinese)],dish_trans[菲律賓文翻譯 (Filipino/Tagalog)])</f>
        <v>Sabaw ng Kabuteng Agaricus para sa Puso at Pagpapakalma</v>
      </c>
      <c r="H21" s="1" t="str">
        <f>_xlfn.XLOOKUP(表格1[[#This Row],[Dish]],dish_trans[中文菜名 (Chinese)],dish_trans[印尼文翻譯 (Indonesian)2])</f>
        <v>Sup Jamur Agaricus untuk Menutrisi Jantung dan Menenangkan Pikiran</v>
      </c>
      <c r="I21" s="1" t="s">
        <v>548</v>
      </c>
      <c r="J21" s="1" t="s">
        <v>7</v>
      </c>
      <c r="K21" s="1" t="s">
        <v>6</v>
      </c>
      <c r="L21" s="1" t="s">
        <v>6</v>
      </c>
      <c r="M21" s="2" t="s">
        <v>226</v>
      </c>
      <c r="N21" s="2" t="s">
        <v>460</v>
      </c>
      <c r="O21" s="1" t="s">
        <v>548</v>
      </c>
    </row>
    <row r="22" spans="1:17" x14ac:dyDescent="0.4">
      <c r="A22" s="33" t="s">
        <v>143</v>
      </c>
      <c r="B22" s="1" t="s">
        <v>143</v>
      </c>
      <c r="C22" s="1" t="s">
        <v>3</v>
      </c>
      <c r="D22" s="1" t="s">
        <v>17</v>
      </c>
      <c r="E22" s="6" t="s">
        <v>43</v>
      </c>
      <c r="F22" s="1" t="str">
        <f>_xlfn.XLOOKUP(表格1[[#This Row],[Dish]],dish_trans!A:A,dish_trans!B:B)</f>
        <v>Ginger Milk Pudding</v>
      </c>
      <c r="G22" s="1" t="str">
        <f>_xlfn.XLOOKUP(表格1[[#This Row],[Dish]],dish_trans[中文菜名 (Chinese)],dish_trans[菲律賓文翻譯 (Filipino/Tagalog)])</f>
        <v>Puding na Gatas at Luya</v>
      </c>
      <c r="H22" s="1" t="str">
        <f>_xlfn.XLOOKUP(表格1[[#This Row],[Dish]],dish_trans[中文菜名 (Chinese)],dish_trans[印尼文翻譯 (Indonesian)2])</f>
        <v>Puding Susu Jahe</v>
      </c>
      <c r="I22" s="1" t="s">
        <v>548</v>
      </c>
      <c r="J22" s="1" t="s">
        <v>6</v>
      </c>
      <c r="K22" s="1" t="s">
        <v>6</v>
      </c>
      <c r="L22" s="1" t="s">
        <v>7</v>
      </c>
      <c r="M22" s="2" t="s">
        <v>249</v>
      </c>
      <c r="N22" s="2" t="s">
        <v>246</v>
      </c>
      <c r="O22" s="1" t="s">
        <v>548</v>
      </c>
    </row>
    <row r="23" spans="1:17" x14ac:dyDescent="0.4">
      <c r="A23" s="33" t="s">
        <v>144</v>
      </c>
      <c r="B23" s="1" t="s">
        <v>144</v>
      </c>
      <c r="C23" s="1" t="s">
        <v>3</v>
      </c>
      <c r="D23" s="2" t="s">
        <v>110</v>
      </c>
      <c r="E23" s="6" t="s">
        <v>44</v>
      </c>
      <c r="F23" s="1" t="str">
        <f>_xlfn.XLOOKUP(表格1[[#This Row],[Dish]],dish_trans!A:A,dish_trans!B:B)</f>
        <v>Pork Chops with Onions</v>
      </c>
      <c r="G23" s="1" t="str">
        <f>_xlfn.XLOOKUP(表格1[[#This Row],[Dish]],dish_trans[中文菜名 (Chinese)],dish_trans[菲律賓文翻譯 (Filipino/Tagalog)])</f>
        <v>Pork Chop na may Sibuyas</v>
      </c>
      <c r="H23" s="1" t="str">
        <f>_xlfn.XLOOKUP(表格1[[#This Row],[Dish]],dish_trans[中文菜名 (Chinese)],dish_trans[印尼文翻譯 (Indonesian)2])</f>
        <v>Potongan Babi dengan Bawang Bombai</v>
      </c>
      <c r="I23" s="1" t="s">
        <v>548</v>
      </c>
      <c r="J23" s="1" t="s">
        <v>6</v>
      </c>
      <c r="K23" s="1" t="s">
        <v>6</v>
      </c>
      <c r="L23" s="1" t="s">
        <v>7</v>
      </c>
      <c r="M23" s="2" t="s">
        <v>226</v>
      </c>
      <c r="N23" s="2" t="s">
        <v>225</v>
      </c>
      <c r="O23" s="1" t="s">
        <v>542</v>
      </c>
    </row>
    <row r="24" spans="1:17" x14ac:dyDescent="0.4">
      <c r="B24" s="1" t="s">
        <v>145</v>
      </c>
      <c r="C24" s="1" t="s">
        <v>3</v>
      </c>
      <c r="D24" s="2" t="s">
        <v>110</v>
      </c>
      <c r="E24" s="1" t="s">
        <v>45</v>
      </c>
      <c r="F24" s="1" t="str">
        <f>_xlfn.XLOOKUP(表格1[[#This Row],[Dish]],dish_trans!A:A,dish_trans!B:B)</f>
        <v>Mashed potato with miced meat in tomato sauce</v>
      </c>
      <c r="G24" s="1" t="str">
        <f>_xlfn.XLOOKUP(表格1[[#This Row],[Dish]],dish_trans[中文菜名 (Chinese)],dish_trans[菲律賓文翻譯 (Filipino/Tagalog)])</f>
        <v>Dinudurog na patatas na may miced meat sa tomato sauce</v>
      </c>
      <c r="H24" s="1" t="str">
        <f>_xlfn.XLOOKUP(表格1[[#This Row],[Dish]],dish_trans[中文菜名 (Chinese)],dish_trans[印尼文翻譯 (Indonesian)2])</f>
        <v>Kentang tumbuk dengan daging mikro dalam saus tomat</v>
      </c>
      <c r="I24" s="1" t="s">
        <v>548</v>
      </c>
      <c r="J24" s="1" t="s">
        <v>6</v>
      </c>
      <c r="K24" s="1" t="s">
        <v>6</v>
      </c>
      <c r="L24" s="1" t="s">
        <v>7</v>
      </c>
      <c r="M24" s="2" t="s">
        <v>226</v>
      </c>
      <c r="N24" s="2" t="s">
        <v>245</v>
      </c>
      <c r="O24" s="1" t="s">
        <v>544</v>
      </c>
    </row>
    <row r="25" spans="1:17" x14ac:dyDescent="0.4">
      <c r="B25" s="1" t="s">
        <v>146</v>
      </c>
      <c r="C25" s="1" t="s">
        <v>3</v>
      </c>
      <c r="D25" s="2" t="s">
        <v>110</v>
      </c>
      <c r="E25" s="6" t="s">
        <v>49</v>
      </c>
      <c r="F25" s="1" t="str">
        <f>_xlfn.XLOOKUP(表格1[[#This Row],[Dish]],dish_trans!A:A,dish_trans!B:B)</f>
        <v>Stir-fried Sliced Lamb with Chinese Leeks</v>
      </c>
      <c r="G25" s="1" t="str">
        <f>_xlfn.XLOOKUP(表格1[[#This Row],[Dish]],dish_trans[中文菜名 (Chinese)],dish_trans[菲律賓文翻譯 (Filipino/Tagalog)])</f>
        <v>Ginisang Hiniwang Tupa na may Chinese Leek</v>
      </c>
      <c r="H25" s="1" t="str">
        <f>_xlfn.XLOOKUP(表格1[[#This Row],[Dish]],dish_trans[中文菜名 (Chinese)],dish_trans[印尼文翻譯 (Indonesian)2])</f>
        <v>Irisan Daging Domba Tumis dengan Daun Bawang Besar</v>
      </c>
      <c r="I25" s="1" t="s">
        <v>548</v>
      </c>
      <c r="J25" s="1" t="s">
        <v>6</v>
      </c>
      <c r="K25" s="1" t="s">
        <v>6</v>
      </c>
      <c r="L25" s="1" t="s">
        <v>7</v>
      </c>
      <c r="M25" s="2" t="s">
        <v>230</v>
      </c>
      <c r="N25" s="2" t="s">
        <v>225</v>
      </c>
      <c r="O25" s="1" t="s">
        <v>542</v>
      </c>
      <c r="Q25" s="2" t="s">
        <v>116</v>
      </c>
    </row>
    <row r="26" spans="1:17" x14ac:dyDescent="0.4">
      <c r="B26" s="1" t="s">
        <v>147</v>
      </c>
      <c r="C26" s="1" t="s">
        <v>3</v>
      </c>
      <c r="D26" s="2" t="s">
        <v>110</v>
      </c>
      <c r="E26" s="6" t="s">
        <v>50</v>
      </c>
      <c r="F26" s="1" t="str">
        <f>_xlfn.XLOOKUP(表格1[[#This Row],[Dish]],dish_trans!A:A,dish_trans!B:B)</f>
        <v>Taiwanese Braised Pork</v>
      </c>
      <c r="G26" s="1" t="str">
        <f>_xlfn.XLOOKUP(表格1[[#This Row],[Dish]],dish_trans[中文菜名 (Chinese)],dish_trans[菲律賓文翻譯 (Filipino/Tagalog)])</f>
        <v>Nilagang Baboy sa Toyo na Estilong Taiwan</v>
      </c>
      <c r="H26" s="1" t="str">
        <f>_xlfn.XLOOKUP(表格1[[#This Row],[Dish]],dish_trans[中文菜名 (Chinese)],dish_trans[印尼文翻譯 (Indonesian)2])</f>
        <v>Babi Masak Kecap ala Taiwan</v>
      </c>
      <c r="I26" s="1" t="s">
        <v>548</v>
      </c>
      <c r="J26" s="1" t="s">
        <v>6</v>
      </c>
      <c r="K26" s="1" t="s">
        <v>6</v>
      </c>
      <c r="L26" s="1" t="s">
        <v>7</v>
      </c>
      <c r="M26" s="2" t="s">
        <v>226</v>
      </c>
      <c r="N26" s="2" t="s">
        <v>225</v>
      </c>
      <c r="O26" s="1" t="s">
        <v>542</v>
      </c>
      <c r="Q26" s="2" t="s">
        <v>116</v>
      </c>
    </row>
    <row r="27" spans="1:17" x14ac:dyDescent="0.4">
      <c r="B27" s="1" t="s">
        <v>148</v>
      </c>
      <c r="C27" s="1" t="s">
        <v>3</v>
      </c>
      <c r="D27" s="2" t="s">
        <v>110</v>
      </c>
      <c r="E27" s="6" t="s">
        <v>120</v>
      </c>
      <c r="F27" s="1" t="str">
        <f>_xlfn.XLOOKUP(表格1[[#This Row],[Dish]],dish_trans!A:A,dish_trans!B:B)</f>
        <v>Millettia Root and Smilax Root Soup</v>
      </c>
      <c r="G27" s="1" t="str">
        <f>_xlfn.XLOOKUP(表格1[[#This Row],[Dish]],dish_trans[中文菜名 (Chinese)],dish_trans[菲律賓文翻譯 (Filipino/Tagalog)])</f>
        <v>Sabaw ng Ugat ng Millettia at Smilax</v>
      </c>
      <c r="H27" s="1" t="str">
        <f>_xlfn.XLOOKUP(表格1[[#This Row],[Dish]],dish_trans[中文菜名 (Chinese)],dish_trans[印尼文翻譯 (Indonesian)2])</f>
        <v>Sup Akar Millettia dan Smilax</v>
      </c>
      <c r="I27" s="1" t="s">
        <v>548</v>
      </c>
      <c r="J27" s="1" t="s">
        <v>7</v>
      </c>
      <c r="K27" s="1" t="s">
        <v>6</v>
      </c>
      <c r="L27" s="1" t="s">
        <v>7</v>
      </c>
      <c r="M27" s="2" t="s">
        <v>226</v>
      </c>
      <c r="N27" s="2" t="s">
        <v>460</v>
      </c>
      <c r="O27" s="1" t="s">
        <v>548</v>
      </c>
    </row>
    <row r="28" spans="1:17" x14ac:dyDescent="0.4">
      <c r="B28" s="1" t="s">
        <v>149</v>
      </c>
      <c r="C28" s="1" t="s">
        <v>3</v>
      </c>
      <c r="D28" s="2" t="s">
        <v>110</v>
      </c>
      <c r="E28" s="6" t="s">
        <v>58</v>
      </c>
      <c r="F28" s="1" t="str">
        <f>_xlfn.XLOOKUP(表格1[[#This Row],[Dish]],dish_trans!A:A,dish_trans!B:B)</f>
        <v>Chicken Wings with Fermented Bean Curd</v>
      </c>
      <c r="G28" s="1" t="str">
        <f>_xlfn.XLOOKUP(表格1[[#This Row],[Dish]],dish_trans[中文菜名 (Chinese)],dish_trans[菲律賓文翻譯 (Filipino/Tagalog)])</f>
        <v>Pakpak ng Manok na may Burong Tokwa</v>
      </c>
      <c r="H28" s="1" t="str">
        <f>_xlfn.XLOOKUP(表格1[[#This Row],[Dish]],dish_trans[中文菜名 (Chinese)],dish_trans[印尼文翻譯 (Indonesian)2])</f>
        <v>Sayap Ayam dengan Tahu Fermentasi</v>
      </c>
      <c r="I28" s="1" t="s">
        <v>548</v>
      </c>
      <c r="J28" s="1" t="s">
        <v>6</v>
      </c>
      <c r="K28" s="1" t="s">
        <v>6</v>
      </c>
      <c r="L28" s="1" t="s">
        <v>7</v>
      </c>
      <c r="M28" s="2" t="s">
        <v>229</v>
      </c>
      <c r="N28" s="2" t="s">
        <v>225</v>
      </c>
      <c r="O28" s="1" t="s">
        <v>542</v>
      </c>
    </row>
    <row r="29" spans="1:17" x14ac:dyDescent="0.4">
      <c r="B29" s="1" t="s">
        <v>150</v>
      </c>
      <c r="C29" s="1" t="s">
        <v>3</v>
      </c>
      <c r="D29" s="2" t="s">
        <v>457</v>
      </c>
      <c r="E29" s="6" t="s">
        <v>67</v>
      </c>
      <c r="F29" s="1" t="str">
        <f>_xlfn.XLOOKUP(表格1[[#This Row],[Dish]],dish_trans!A:A,dish_trans!B:B)</f>
        <v>Stir-fried Lotus Root and Carrots</v>
      </c>
      <c r="G29" s="1" t="str">
        <f>_xlfn.XLOOKUP(表格1[[#This Row],[Dish]],dish_trans[中文菜名 (Chinese)],dish_trans[菲律賓文翻譯 (Filipino/Tagalog)])</f>
        <v>Ginisang Ugat ng Lotus at Karot</v>
      </c>
      <c r="H29" s="1" t="str">
        <f>_xlfn.XLOOKUP(表格1[[#This Row],[Dish]],dish_trans[中文菜名 (Chinese)],dish_trans[印尼文翻譯 (Indonesian)2])</f>
        <v>Akar Teratai dan Wortel Tumis</v>
      </c>
      <c r="I29" s="1" t="s">
        <v>548</v>
      </c>
      <c r="J29" s="1" t="s">
        <v>6</v>
      </c>
      <c r="K29" s="1" t="s">
        <v>6</v>
      </c>
      <c r="L29" s="1" t="s">
        <v>7</v>
      </c>
      <c r="M29" s="2" t="s">
        <v>248</v>
      </c>
      <c r="N29" s="2" t="s">
        <v>245</v>
      </c>
      <c r="O29" s="1" t="s">
        <v>546</v>
      </c>
    </row>
    <row r="30" spans="1:17" x14ac:dyDescent="0.4">
      <c r="B30" s="1" t="s">
        <v>151</v>
      </c>
      <c r="C30" s="1" t="s">
        <v>3</v>
      </c>
      <c r="D30" s="2" t="s">
        <v>457</v>
      </c>
      <c r="E30" s="6" t="s">
        <v>68</v>
      </c>
      <c r="F30" s="1" t="str">
        <f>_xlfn.XLOOKUP(表格1[[#This Row],[Dish]],dish_trans!A:A,dish_trans!B:B)</f>
        <v>Shiitake Mushrooms with Minced Garlic</v>
      </c>
      <c r="G30" s="1" t="str">
        <f>_xlfn.XLOOKUP(表格1[[#This Row],[Dish]],dish_trans[中文菜名 (Chinese)],dish_trans[菲律賓文翻譯 (Filipino/Tagalog)])</f>
        <v>Kabuteng Shiitake na may Tinadtad na Bawang</v>
      </c>
      <c r="H30" s="1" t="str">
        <f>_xlfn.XLOOKUP(表格1[[#This Row],[Dish]],dish_trans[中文菜名 (Chinese)],dish_trans[印尼文翻譯 (Indonesian)2])</f>
        <v>Jamur Shiitake dengan Bawang Putih Cincang</v>
      </c>
      <c r="I30" s="1" t="s">
        <v>548</v>
      </c>
      <c r="J30" s="1" t="s">
        <v>6</v>
      </c>
      <c r="K30" s="1" t="s">
        <v>6</v>
      </c>
      <c r="L30" s="1" t="s">
        <v>7</v>
      </c>
      <c r="M30" s="2" t="s">
        <v>248</v>
      </c>
      <c r="N30" s="2" t="s">
        <v>245</v>
      </c>
      <c r="O30" s="1" t="s">
        <v>542</v>
      </c>
    </row>
    <row r="31" spans="1:17" x14ac:dyDescent="0.4">
      <c r="B31" s="1" t="s">
        <v>152</v>
      </c>
      <c r="C31" s="1" t="s">
        <v>3</v>
      </c>
      <c r="D31" s="2" t="s">
        <v>110</v>
      </c>
      <c r="E31" s="6" t="s">
        <v>70</v>
      </c>
      <c r="F31" s="1" t="str">
        <f>_xlfn.XLOOKUP(表格1[[#This Row],[Dish]],dish_trans!A:A,dish_trans!B:B)</f>
        <v>Sliced Pork with Garlic Sauce</v>
      </c>
      <c r="G31" s="1" t="str">
        <f>_xlfn.XLOOKUP(表格1[[#This Row],[Dish]],dish_trans[中文菜名 (Chinese)],dish_trans[菲律賓文翻譯 (Filipino/Tagalog)])</f>
        <v>Hiniwang Baboy na may Sarsa ng Bawang</v>
      </c>
      <c r="H31" s="1" t="str">
        <f>_xlfn.XLOOKUP(表格1[[#This Row],[Dish]],dish_trans[中文菜名 (Chinese)],dish_trans[印尼文翻譯 (Indonesian)2])</f>
        <v>Irisan Babi dengan Saus Bawang Putih</v>
      </c>
      <c r="I31" s="1" t="s">
        <v>548</v>
      </c>
      <c r="J31" s="1" t="s">
        <v>7</v>
      </c>
      <c r="K31" s="1" t="s">
        <v>6</v>
      </c>
      <c r="L31" s="1" t="s">
        <v>7</v>
      </c>
      <c r="M31" s="2" t="s">
        <v>226</v>
      </c>
      <c r="N31" s="2" t="s">
        <v>225</v>
      </c>
      <c r="O31" s="1" t="s">
        <v>542</v>
      </c>
      <c r="Q31" s="2" t="s">
        <v>117</v>
      </c>
    </row>
    <row r="32" spans="1:17" x14ac:dyDescent="0.4">
      <c r="B32" s="1" t="s">
        <v>153</v>
      </c>
      <c r="C32" s="1" t="s">
        <v>3</v>
      </c>
      <c r="D32" s="2" t="s">
        <v>457</v>
      </c>
      <c r="E32" s="1" t="s">
        <v>71</v>
      </c>
      <c r="F32" s="1" t="str">
        <f>_xlfn.XLOOKUP(表格1[[#This Row],[Dish]],dish_trans!A:A,dish_trans!B:B)</f>
        <v>Chilled Eggplant</v>
      </c>
      <c r="G32" s="1" t="str">
        <f>_xlfn.XLOOKUP(表格1[[#This Row],[Dish]],dish_trans[中文菜名 (Chinese)],dish_trans[菲律賓文翻譯 (Filipino/Tagalog)])</f>
        <v>Pinalamig na Talong</v>
      </c>
      <c r="H32" s="1" t="str">
        <f>_xlfn.XLOOKUP(表格1[[#This Row],[Dish]],dish_trans[中文菜名 (Chinese)],dish_trans[印尼文翻譯 (Indonesian)2])</f>
        <v>Terung Dingin</v>
      </c>
      <c r="I32" s="1" t="s">
        <v>548</v>
      </c>
      <c r="J32" s="1" t="s">
        <v>7</v>
      </c>
      <c r="K32" s="1" t="s">
        <v>6</v>
      </c>
      <c r="L32" s="1" t="s">
        <v>7</v>
      </c>
      <c r="M32" s="2" t="s">
        <v>248</v>
      </c>
      <c r="N32" s="2" t="s">
        <v>245</v>
      </c>
      <c r="O32" s="1" t="s">
        <v>544</v>
      </c>
      <c r="Q32" s="2" t="s">
        <v>117</v>
      </c>
    </row>
    <row r="33" spans="1:17" x14ac:dyDescent="0.4">
      <c r="B33" s="1" t="s">
        <v>154</v>
      </c>
      <c r="C33" s="1" t="s">
        <v>3</v>
      </c>
      <c r="D33" s="2" t="s">
        <v>110</v>
      </c>
      <c r="E33" s="6" t="s">
        <v>73</v>
      </c>
      <c r="F33" s="1" t="str">
        <f>_xlfn.XLOOKUP(表格1[[#This Row],[Dish]],dish_trans!A:A,dish_trans!B:B)</f>
        <v>Chicken with Sichuan Pepper</v>
      </c>
      <c r="G33" s="1" t="str">
        <f>_xlfn.XLOOKUP(表格1[[#This Row],[Dish]],dish_trans[中文菜名 (Chinese)],dish_trans[菲律賓文翻譯 (Filipino/Tagalog)])</f>
        <v>Manok na may Pamintang Sichuan</v>
      </c>
      <c r="H33" s="1" t="str">
        <f>_xlfn.XLOOKUP(表格1[[#This Row],[Dish]],dish_trans[中文菜名 (Chinese)],dish_trans[印尼文翻譯 (Indonesian)2])</f>
        <v>Ayam dengan Lada Sichuan</v>
      </c>
      <c r="I33" s="1" t="s">
        <v>548</v>
      </c>
      <c r="J33" s="1" t="s">
        <v>6</v>
      </c>
      <c r="K33" s="1" t="s">
        <v>6</v>
      </c>
      <c r="L33" s="1" t="s">
        <v>7</v>
      </c>
      <c r="M33" s="2" t="s">
        <v>229</v>
      </c>
      <c r="N33" s="2" t="s">
        <v>225</v>
      </c>
      <c r="O33" s="1" t="s">
        <v>542</v>
      </c>
    </row>
    <row r="34" spans="1:17" x14ac:dyDescent="0.4">
      <c r="B34" s="1" t="s">
        <v>155</v>
      </c>
      <c r="C34" s="1" t="s">
        <v>3</v>
      </c>
      <c r="D34" s="2" t="s">
        <v>457</v>
      </c>
      <c r="E34" s="1" t="s">
        <v>76</v>
      </c>
      <c r="F34" s="1" t="str">
        <f>_xlfn.XLOOKUP(表格1[[#This Row],[Dish]],dish_trans!A:A,dish_trans!B:B)</f>
        <v>Pumpkin Cakes</v>
      </c>
      <c r="G34" s="1" t="str">
        <f>_xlfn.XLOOKUP(表格1[[#This Row],[Dish]],dish_trans[中文菜名 (Chinese)],dish_trans[菲律賓文翻譯 (Filipino/Tagalog)])</f>
        <v>Mga Kakaning Kalabasa</v>
      </c>
      <c r="H34" s="1" t="str">
        <f>_xlfn.XLOOKUP(表格1[[#This Row],[Dish]],dish_trans[中文菜名 (Chinese)],dish_trans[印尼文翻譯 (Indonesian)2])</f>
        <v>Kue Labu</v>
      </c>
      <c r="I34" s="1" t="s">
        <v>548</v>
      </c>
      <c r="J34" s="1" t="s">
        <v>6</v>
      </c>
      <c r="K34" s="1" t="s">
        <v>6</v>
      </c>
      <c r="L34" s="1" t="s">
        <v>6</v>
      </c>
      <c r="M34" s="2" t="s">
        <v>248</v>
      </c>
      <c r="N34" s="2" t="s">
        <v>245</v>
      </c>
      <c r="O34" s="1" t="s">
        <v>544</v>
      </c>
    </row>
    <row r="35" spans="1:17" x14ac:dyDescent="0.4">
      <c r="B35" s="1" t="s">
        <v>156</v>
      </c>
      <c r="C35" s="1" t="s">
        <v>3</v>
      </c>
      <c r="D35" s="2" t="s">
        <v>110</v>
      </c>
      <c r="E35" s="1" t="s">
        <v>79</v>
      </c>
      <c r="F35" s="1" t="str">
        <f>_xlfn.XLOOKUP(表格1[[#This Row],[Dish]],dish_trans!A:A,dish_trans!B:B)</f>
        <v>Braised Stuffed Tofu Puffs</v>
      </c>
      <c r="G35" s="1" t="str">
        <f>_xlfn.XLOOKUP(表格1[[#This Row],[Dish]],dish_trans[中文菜名 (Chinese)],dish_trans[菲律賓文翻譯 (Filipino/Tagalog)])</f>
        <v>Nilagang Pinalamanang Pritong Tokwa</v>
      </c>
      <c r="H35" s="1" t="str">
        <f>_xlfn.XLOOKUP(表格1[[#This Row],[Dish]],dish_trans[中文菜名 (Chinese)],dish_trans[印尼文翻譯 (Indonesian)2])</f>
        <v>Tahu Pong Isi Masak Semur</v>
      </c>
      <c r="I35" s="1" t="s">
        <v>548</v>
      </c>
      <c r="J35" s="1" t="s">
        <v>6</v>
      </c>
      <c r="K35" s="1" t="s">
        <v>6</v>
      </c>
      <c r="L35" s="1" t="s">
        <v>7</v>
      </c>
      <c r="M35" s="2" t="s">
        <v>228</v>
      </c>
      <c r="N35" s="2" t="s">
        <v>225</v>
      </c>
      <c r="O35" s="1" t="s">
        <v>544</v>
      </c>
      <c r="P35" s="1">
        <v>2</v>
      </c>
    </row>
    <row r="36" spans="1:17" x14ac:dyDescent="0.4">
      <c r="B36" s="1" t="s">
        <v>157</v>
      </c>
      <c r="C36" s="1" t="s">
        <v>3</v>
      </c>
      <c r="D36" s="2" t="s">
        <v>457</v>
      </c>
      <c r="E36" s="1" t="s">
        <v>86</v>
      </c>
      <c r="F36" s="1" t="str">
        <f>_xlfn.XLOOKUP(表格1[[#This Row],[Dish]],dish_trans!A:A,dish_trans!B:B)</f>
        <v>Tofu Puffs Stuffed with Plum and Mashed Potato</v>
      </c>
      <c r="G36" s="1" t="str">
        <f>_xlfn.XLOOKUP(表格1[[#This Row],[Dish]],dish_trans[中文菜名 (Chinese)],dish_trans[菲律賓文翻譯 (Filipino/Tagalog)])</f>
        <v>Pritong Tokwa na Pinalamanan ng Plum at Niligis na Patatas</v>
      </c>
      <c r="H36" s="1" t="str">
        <f>_xlfn.XLOOKUP(表格1[[#This Row],[Dish]],dish_trans[中文菜名 (Chinese)],dish_trans[印尼文翻譯 (Indonesian)2])</f>
        <v>Tahu Pong Isi Plum dan Kentang Tumbuk</v>
      </c>
      <c r="I36" s="1" t="s">
        <v>548</v>
      </c>
      <c r="J36" s="1" t="s">
        <v>6</v>
      </c>
      <c r="K36" s="1" t="s">
        <v>6</v>
      </c>
      <c r="L36" s="1" t="s">
        <v>7</v>
      </c>
      <c r="M36" s="2" t="s">
        <v>247</v>
      </c>
      <c r="N36" s="2" t="s">
        <v>245</v>
      </c>
      <c r="O36" s="1" t="s">
        <v>546</v>
      </c>
      <c r="P36" s="1">
        <v>2</v>
      </c>
    </row>
    <row r="37" spans="1:17" x14ac:dyDescent="0.4">
      <c r="B37" s="1" t="s">
        <v>158</v>
      </c>
      <c r="C37" s="1" t="s">
        <v>3</v>
      </c>
      <c r="D37" s="2" t="s">
        <v>110</v>
      </c>
      <c r="E37" s="1" t="s">
        <v>87</v>
      </c>
      <c r="F37" s="1" t="str">
        <f>_xlfn.XLOOKUP(表格1[[#This Row],[Dish]],dish_trans!A:A,dish_trans!B:B)</f>
        <v>Wontons in Chili Oil</v>
      </c>
      <c r="G37" s="1" t="str">
        <f>_xlfn.XLOOKUP(表格1[[#This Row],[Dish]],dish_trans[中文菜名 (Chinese)],dish_trans[菲律賓文翻譯 (Filipino/Tagalog)])</f>
        <v>Wonton sa Langis ng Sili</v>
      </c>
      <c r="H37" s="1" t="str">
        <f>_xlfn.XLOOKUP(表格1[[#This Row],[Dish]],dish_trans[中文菜名 (Chinese)],dish_trans[印尼文翻譯 (Indonesian)2])</f>
        <v>Pangsit dengan Minyak Cabai</v>
      </c>
      <c r="I37" s="1" t="s">
        <v>548</v>
      </c>
      <c r="J37" s="1" t="s">
        <v>6</v>
      </c>
      <c r="K37" s="1" t="s">
        <v>6</v>
      </c>
      <c r="L37" s="1" t="s">
        <v>6</v>
      </c>
      <c r="M37" s="2" t="s">
        <v>226</v>
      </c>
      <c r="N37" s="2" t="s">
        <v>225</v>
      </c>
      <c r="O37" s="1" t="s">
        <v>542</v>
      </c>
    </row>
    <row r="38" spans="1:17" x14ac:dyDescent="0.4">
      <c r="B38" s="1" t="s">
        <v>159</v>
      </c>
      <c r="C38" s="1" t="s">
        <v>3</v>
      </c>
      <c r="D38" s="2" t="s">
        <v>457</v>
      </c>
      <c r="E38" s="1" t="s">
        <v>88</v>
      </c>
      <c r="F38" s="1" t="str">
        <f>_xlfn.XLOOKUP(表格1[[#This Row],[Dish]],dish_trans!A:A,dish_trans!B:B)</f>
        <v>Kudzu Root, Carrot, Adzuki Bean and Hyacinth Bean Soup</v>
      </c>
      <c r="G38" s="1" t="str">
        <f>_xlfn.XLOOKUP(表格1[[#This Row],[Dish]],dish_trans[中文菜名 (Chinese)],dish_trans[菲律賓文翻譯 (Filipino/Tagalog)])</f>
        <v>Sabaw ng Ugat ng Kudzu, Karot, Adzuki at Bataw</v>
      </c>
      <c r="H38" s="1" t="str">
        <f>_xlfn.XLOOKUP(表格1[[#This Row],[Dish]],dish_trans[中文菜名 (Chinese)],dish_trans[印尼文翻譯 (Indonesian)2])</f>
        <v>Sup Akar Kudzu, Wortel, Kacang Adzuki dan Kacang Komak</v>
      </c>
      <c r="I38" s="1" t="s">
        <v>548</v>
      </c>
      <c r="J38" s="1" t="s">
        <v>7</v>
      </c>
      <c r="K38" s="1" t="s">
        <v>6</v>
      </c>
      <c r="L38" s="1" t="s">
        <v>7</v>
      </c>
      <c r="M38" s="2" t="s">
        <v>471</v>
      </c>
      <c r="N38" s="2" t="s">
        <v>460</v>
      </c>
      <c r="O38" s="1" t="s">
        <v>548</v>
      </c>
    </row>
    <row r="39" spans="1:17" x14ac:dyDescent="0.4">
      <c r="B39" s="1" t="s">
        <v>160</v>
      </c>
      <c r="C39" s="1" t="s">
        <v>3</v>
      </c>
      <c r="D39" s="2" t="s">
        <v>110</v>
      </c>
      <c r="E39" s="1" t="s">
        <v>105</v>
      </c>
      <c r="F39" s="1" t="str">
        <f>_xlfn.XLOOKUP(表格1[[#This Row],[Dish]],dish_trans!A:A,dish_trans!B:B)</f>
        <v>Fresh and Dried Chinese Cabbage Soup</v>
      </c>
      <c r="G39" s="1" t="str">
        <f>_xlfn.XLOOKUP(表格1[[#This Row],[Dish]],dish_trans[中文菜名 (Chinese)],dish_trans[菲律賓文翻譯 (Filipino/Tagalog)])</f>
        <v>Sabaw ng Sariwa at Tuyong Chinese Cabbage</v>
      </c>
      <c r="H39" s="1" t="str">
        <f>_xlfn.XLOOKUP(表格1[[#This Row],[Dish]],dish_trans[中文菜名 (Chinese)],dish_trans[印尼文翻譯 (Indonesian)2])</f>
        <v>Sup Sawi Putih Segar dan Kering</v>
      </c>
      <c r="I39" s="1" t="s">
        <v>548</v>
      </c>
      <c r="J39" s="1" t="s">
        <v>7</v>
      </c>
      <c r="K39" s="1" t="s">
        <v>6</v>
      </c>
      <c r="L39" s="1" t="s">
        <v>7</v>
      </c>
      <c r="M39" s="2" t="s">
        <v>226</v>
      </c>
      <c r="N39" s="2" t="s">
        <v>460</v>
      </c>
      <c r="O39" s="1" t="s">
        <v>548</v>
      </c>
    </row>
    <row r="40" spans="1:17" x14ac:dyDescent="0.4">
      <c r="B40" s="1" t="s">
        <v>161</v>
      </c>
      <c r="C40" s="1" t="s">
        <v>3</v>
      </c>
      <c r="D40" s="2" t="s">
        <v>110</v>
      </c>
      <c r="E40" s="1" t="s">
        <v>56</v>
      </c>
      <c r="F40" s="1" t="str">
        <f>_xlfn.XLOOKUP(表格1[[#This Row],[Dish]],dish_trans!A:A,dish_trans!B:B)</f>
        <v>Fatty Beef Rolls with Enoki Mushrooms</v>
      </c>
      <c r="G40" s="1" t="str">
        <f>_xlfn.XLOOKUP(表格1[[#This Row],[Dish]],dish_trans[中文菜名 (Chinese)],dish_trans[菲律賓文翻譯 (Filipino/Tagalog)])</f>
        <v>Rolyo ng Matabang Baka na may Kabuteng Enoki</v>
      </c>
      <c r="H40" s="1" t="str">
        <f>_xlfn.XLOOKUP(表格1[[#This Row],[Dish]],dish_trans[中文菜名 (Chinese)],dish_trans[印尼文翻譯 (Indonesian)2])</f>
        <v>Gulungan Daging Sapi Berlemak Isi Jamur Enoki</v>
      </c>
      <c r="I40" s="1" t="s">
        <v>548</v>
      </c>
      <c r="J40" s="1" t="s">
        <v>6</v>
      </c>
      <c r="K40" s="1" t="s">
        <v>6</v>
      </c>
      <c r="L40" s="1" t="s">
        <v>7</v>
      </c>
      <c r="M40" s="2" t="s">
        <v>250</v>
      </c>
      <c r="N40" s="2" t="s">
        <v>225</v>
      </c>
      <c r="O40" s="1" t="s">
        <v>542</v>
      </c>
    </row>
    <row r="41" spans="1:17" x14ac:dyDescent="0.4">
      <c r="B41" s="1" t="s">
        <v>162</v>
      </c>
      <c r="C41" s="2" t="s">
        <v>26</v>
      </c>
      <c r="D41" s="2" t="s">
        <v>110</v>
      </c>
      <c r="E41" s="1" t="s">
        <v>25</v>
      </c>
      <c r="F41" s="1" t="str">
        <f>_xlfn.XLOOKUP(表格1[[#This Row],[Dish]],dish_trans!A:A,dish_trans!B:B)</f>
        <v>Tuna and Okra Salad</v>
      </c>
      <c r="G41" s="1" t="str">
        <f>_xlfn.XLOOKUP(表格1[[#This Row],[Dish]],dish_trans[中文菜名 (Chinese)],dish_trans[菲律賓文翻譯 (Filipino/Tagalog)])</f>
        <v>Salad ng Tuna at Okra</v>
      </c>
      <c r="H41" s="1" t="str">
        <f>_xlfn.XLOOKUP(表格1[[#This Row],[Dish]],dish_trans[中文菜名 (Chinese)],dish_trans[印尼文翻譯 (Indonesian)2])</f>
        <v>Salad Tuna dan Okra</v>
      </c>
      <c r="I41" s="1" t="s">
        <v>548</v>
      </c>
      <c r="J41" s="1" t="s">
        <v>6</v>
      </c>
      <c r="K41" s="1" t="s">
        <v>6</v>
      </c>
      <c r="L41" s="1" t="s">
        <v>7</v>
      </c>
      <c r="M41" s="2" t="s">
        <v>228</v>
      </c>
      <c r="N41" s="2" t="s">
        <v>245</v>
      </c>
      <c r="O41" s="1" t="s">
        <v>544</v>
      </c>
      <c r="Q41" s="2" t="s">
        <v>117</v>
      </c>
    </row>
    <row r="42" spans="1:17" x14ac:dyDescent="0.4">
      <c r="B42" s="1" t="s">
        <v>163</v>
      </c>
      <c r="C42" s="2" t="s">
        <v>26</v>
      </c>
      <c r="D42" s="1" t="s">
        <v>17</v>
      </c>
      <c r="E42" s="6" t="s">
        <v>121</v>
      </c>
      <c r="F42" s="1" t="str">
        <f>_xlfn.XLOOKUP(表格1[[#This Row],[Dish]],dish_trans!A:A,dish_trans!B:B)</f>
        <v>Japanese Soufflé Pancakes</v>
      </c>
      <c r="G42" s="1" t="str">
        <f>_xlfn.XLOOKUP(表格1[[#This Row],[Dish]],dish_trans[中文菜名 (Chinese)],dish_trans[菲律賓文翻譯 (Filipino/Tagalog)])</f>
        <v>Japanese Soufflé Pancake</v>
      </c>
      <c r="H42" s="1" t="str">
        <f>_xlfn.XLOOKUP(表格1[[#This Row],[Dish]],dish_trans[中文菜名 (Chinese)],dish_trans[印尼文翻譯 (Indonesian)2])</f>
        <v>Panekuk Soufflé Jepang</v>
      </c>
      <c r="I42" s="1" t="s">
        <v>556</v>
      </c>
      <c r="J42" s="1" t="s">
        <v>7</v>
      </c>
      <c r="K42" s="1" t="s">
        <v>7</v>
      </c>
      <c r="L42" s="1" t="s">
        <v>7</v>
      </c>
      <c r="M42" s="2" t="s">
        <v>227</v>
      </c>
      <c r="N42" s="2" t="s">
        <v>246</v>
      </c>
      <c r="O42" s="1" t="s">
        <v>548</v>
      </c>
    </row>
    <row r="43" spans="1:17" x14ac:dyDescent="0.4">
      <c r="A43" s="33" t="s">
        <v>164</v>
      </c>
      <c r="B43" s="1" t="s">
        <v>164</v>
      </c>
      <c r="C43" s="2" t="s">
        <v>26</v>
      </c>
      <c r="D43" s="2" t="s">
        <v>110</v>
      </c>
      <c r="E43" s="1" t="s">
        <v>66</v>
      </c>
      <c r="F43" s="1" t="str">
        <f>_xlfn.XLOOKUP(表格1[[#This Row],[Dish]],dish_trans!A:A,dish_trans!B:B)</f>
        <v>Beef Rice Bowl</v>
      </c>
      <c r="G43" s="1" t="str">
        <f>_xlfn.XLOOKUP(表格1[[#This Row],[Dish]],dish_trans[中文菜名 (Chinese)],dish_trans[菲律賓文翻譯 (Filipino/Tagalog)])</f>
        <v>Kanin na may Baka sa Mangkok</v>
      </c>
      <c r="H43" s="1" t="str">
        <f>_xlfn.XLOOKUP(表格1[[#This Row],[Dish]],dish_trans[中文菜名 (Chinese)],dish_trans[印尼文翻譯 (Indonesian)2])</f>
        <v>Nasi Mangkuk Daging Sapi</v>
      </c>
      <c r="I43" s="1" t="s">
        <v>548</v>
      </c>
      <c r="J43" s="1" t="s">
        <v>6</v>
      </c>
      <c r="K43" s="1" t="s">
        <v>6</v>
      </c>
      <c r="L43" s="1" t="s">
        <v>7</v>
      </c>
      <c r="M43" s="2" t="s">
        <v>250</v>
      </c>
      <c r="N43" s="1" t="s">
        <v>534</v>
      </c>
      <c r="O43" s="1" t="s">
        <v>542</v>
      </c>
    </row>
    <row r="44" spans="1:17" x14ac:dyDescent="0.4">
      <c r="B44" s="1" t="s">
        <v>165</v>
      </c>
      <c r="C44" s="2" t="s">
        <v>26</v>
      </c>
      <c r="D44" s="2" t="s">
        <v>457</v>
      </c>
      <c r="E44" s="1" t="s">
        <v>69</v>
      </c>
      <c r="F44" s="1" t="str">
        <f>_xlfn.XLOOKUP(表格1[[#This Row],[Dish]],dish_trans!A:A,dish_trans!B:B)</f>
        <v>Oden</v>
      </c>
      <c r="G44" s="1" t="str">
        <f>_xlfn.XLOOKUP(表格1[[#This Row],[Dish]],dish_trans[中文菜名 (Chinese)],dish_trans[菲律賓文翻譯 (Filipino/Tagalog)])</f>
        <v>Oden</v>
      </c>
      <c r="H44" s="1" t="str">
        <f>_xlfn.XLOOKUP(表格1[[#This Row],[Dish]],dish_trans[中文菜名 (Chinese)],dish_trans[印尼文翻譯 (Indonesian)2])</f>
        <v>Oden</v>
      </c>
      <c r="I44" s="1" t="s">
        <v>548</v>
      </c>
      <c r="J44" s="1" t="s">
        <v>6</v>
      </c>
      <c r="K44" s="1" t="s">
        <v>6</v>
      </c>
      <c r="L44" s="1" t="s">
        <v>7</v>
      </c>
      <c r="M44" s="2" t="s">
        <v>248</v>
      </c>
      <c r="N44" s="1" t="s">
        <v>459</v>
      </c>
      <c r="O44" s="1" t="s">
        <v>544</v>
      </c>
    </row>
    <row r="45" spans="1:17" x14ac:dyDescent="0.4">
      <c r="B45" s="1" t="s">
        <v>166</v>
      </c>
      <c r="C45" s="2" t="s">
        <v>26</v>
      </c>
      <c r="D45" s="2" t="s">
        <v>110</v>
      </c>
      <c r="E45" s="1" t="s">
        <v>77</v>
      </c>
      <c r="F45" s="1" t="str">
        <f>_xlfn.XLOOKUP(表格1[[#This Row],[Dish]],dish_trans!A:A,dish_trans!B:B)</f>
        <v>Japanese Napolitan Spaghetti</v>
      </c>
      <c r="G45" s="1" t="str">
        <f>_xlfn.XLOOKUP(表格1[[#This Row],[Dish]],dish_trans[中文菜名 (Chinese)],dish_trans[菲律賓文翻譯 (Filipino/Tagalog)])</f>
        <v>Japanese Napolitan Spaghetti</v>
      </c>
      <c r="H45" s="1" t="str">
        <f>_xlfn.XLOOKUP(表格1[[#This Row],[Dish]],dish_trans[中文菜名 (Chinese)],dish_trans[印尼文翻譯 (Indonesian)2])</f>
        <v>Spageti Napolitan Jepang</v>
      </c>
      <c r="I45" s="1" t="s">
        <v>548</v>
      </c>
      <c r="J45" s="1" t="s">
        <v>6</v>
      </c>
      <c r="K45" s="1" t="s">
        <v>6</v>
      </c>
      <c r="L45" s="1" t="s">
        <v>7</v>
      </c>
      <c r="M45" s="2" t="s">
        <v>226</v>
      </c>
      <c r="N45" s="1" t="s">
        <v>534</v>
      </c>
      <c r="O45" s="1" t="s">
        <v>544</v>
      </c>
    </row>
    <row r="46" spans="1:17" x14ac:dyDescent="0.4">
      <c r="B46" s="1" t="s">
        <v>167</v>
      </c>
      <c r="C46" s="2" t="s">
        <v>26</v>
      </c>
      <c r="D46" s="2" t="s">
        <v>110</v>
      </c>
      <c r="E46" s="1" t="s">
        <v>83</v>
      </c>
      <c r="F46" s="1" t="str">
        <f>_xlfn.XLOOKUP(表格1[[#This Row],[Dish]],dish_trans!A:A,dish_trans!B:B)</f>
        <v>Rice in Tea Broth</v>
      </c>
      <c r="G46" s="1" t="str">
        <f>_xlfn.XLOOKUP(表格1[[#This Row],[Dish]],dish_trans[中文菜名 (Chinese)],dish_trans[菲律賓文翻譯 (Filipino/Tagalog)])</f>
        <v>Kanin sa Sabaw ng Tsaa</v>
      </c>
      <c r="H46" s="1" t="str">
        <f>_xlfn.XLOOKUP(表格1[[#This Row],[Dish]],dish_trans[中文菜名 (Chinese)],dish_trans[印尼文翻譯 (Indonesian)2])</f>
        <v>Nasi dengan Kuah Teh</v>
      </c>
      <c r="I46" s="1" t="s">
        <v>556</v>
      </c>
      <c r="J46" s="1" t="s">
        <v>6</v>
      </c>
      <c r="K46" s="1" t="s">
        <v>6</v>
      </c>
      <c r="L46" s="1" t="s">
        <v>7</v>
      </c>
      <c r="M46" s="2" t="s">
        <v>228</v>
      </c>
      <c r="N46" s="1" t="s">
        <v>459</v>
      </c>
      <c r="O46" s="1" t="s">
        <v>546</v>
      </c>
    </row>
    <row r="47" spans="1:17" x14ac:dyDescent="0.4">
      <c r="B47" s="1" t="s">
        <v>168</v>
      </c>
      <c r="C47" s="2" t="s">
        <v>26</v>
      </c>
      <c r="D47" s="2" t="s">
        <v>457</v>
      </c>
      <c r="E47" s="1" t="s">
        <v>84</v>
      </c>
      <c r="F47" s="1" t="str">
        <f>_xlfn.XLOOKUP(表格1[[#This Row],[Dish]],dish_trans!A:A,dish_trans!B:B)</f>
        <v>Grilled Summer Vegetables Soaked in Broth</v>
      </c>
      <c r="G47" s="1" t="str">
        <f>_xlfn.XLOOKUP(表格1[[#This Row],[Dish]],dish_trans[中文菜名 (Chinese)],dish_trans[菲律賓文翻譯 (Filipino/Tagalog)])</f>
        <v>Inihaw na Gulay sa Tag-init na Ibinabad sa Sabaw</v>
      </c>
      <c r="H47" s="1" t="str">
        <f>_xlfn.XLOOKUP(表格1[[#This Row],[Dish]],dish_trans[中文菜名 (Chinese)],dish_trans[印尼文翻譯 (Indonesian)2])</f>
        <v>Sayuran Musim Panas Panggang Rendam Kaldu</v>
      </c>
      <c r="I47" s="1" t="s">
        <v>548</v>
      </c>
      <c r="J47" s="1" t="s">
        <v>6</v>
      </c>
      <c r="K47" s="1" t="s">
        <v>6</v>
      </c>
      <c r="L47" s="1" t="s">
        <v>7</v>
      </c>
      <c r="M47" s="2" t="s">
        <v>248</v>
      </c>
      <c r="N47" s="2" t="s">
        <v>225</v>
      </c>
      <c r="O47" s="1" t="s">
        <v>544</v>
      </c>
      <c r="Q47" s="2" t="s">
        <v>117</v>
      </c>
    </row>
    <row r="48" spans="1:17" x14ac:dyDescent="0.4">
      <c r="B48" s="1" t="s">
        <v>169</v>
      </c>
      <c r="C48" s="2" t="s">
        <v>26</v>
      </c>
      <c r="D48" s="2" t="s">
        <v>458</v>
      </c>
      <c r="E48" s="1" t="s">
        <v>85</v>
      </c>
      <c r="F48" s="1" t="str">
        <f>_xlfn.XLOOKUP(表格1[[#This Row],[Dish]],dish_trans!A:A,dish_trans!B:B)</f>
        <v>Tofu Salad</v>
      </c>
      <c r="G48" s="1" t="str">
        <f>_xlfn.XLOOKUP(表格1[[#This Row],[Dish]],dish_trans[中文菜名 (Chinese)],dish_trans[菲律賓文翻譯 (Filipino/Tagalog)])</f>
        <v>Salad ng Tokwa</v>
      </c>
      <c r="H48" s="1" t="str">
        <f>_xlfn.XLOOKUP(表格1[[#This Row],[Dish]],dish_trans[中文菜名 (Chinese)],dish_trans[印尼文翻譯 (Indonesian)2])</f>
        <v>Salad Tahu</v>
      </c>
      <c r="I48" s="1" t="s">
        <v>548</v>
      </c>
      <c r="J48" s="1" t="s">
        <v>6</v>
      </c>
      <c r="K48" s="1" t="s">
        <v>6</v>
      </c>
      <c r="L48" s="1" t="s">
        <v>7</v>
      </c>
      <c r="M48" s="2" t="s">
        <v>247</v>
      </c>
      <c r="N48" s="1" t="s">
        <v>463</v>
      </c>
      <c r="O48" s="1" t="s">
        <v>544</v>
      </c>
    </row>
    <row r="49" spans="2:15" x14ac:dyDescent="0.4">
      <c r="B49" s="1" t="s">
        <v>170</v>
      </c>
      <c r="C49" s="2" t="s">
        <v>26</v>
      </c>
      <c r="D49" s="2" t="s">
        <v>457</v>
      </c>
      <c r="E49" s="1" t="s">
        <v>92</v>
      </c>
      <c r="F49" s="1" t="str">
        <f>_xlfn.XLOOKUP(表格1[[#This Row],[Dish]],dish_trans!A:A,dish_trans!B:B)</f>
        <v>Japanese Cold Noodles</v>
      </c>
      <c r="G49" s="1" t="str">
        <f>_xlfn.XLOOKUP(表格1[[#This Row],[Dish]],dish_trans[中文菜名 (Chinese)],dish_trans[菲律賓文翻譯 (Filipino/Tagalog)])</f>
        <v>Malamig na Noodles na Estilong Hapones</v>
      </c>
      <c r="H49" s="1" t="str">
        <f>_xlfn.XLOOKUP(表格1[[#This Row],[Dish]],dish_trans[中文菜名 (Chinese)],dish_trans[印尼文翻譯 (Indonesian)2])</f>
        <v>Mi Dingin ala Jepang</v>
      </c>
      <c r="I49" s="1" t="s">
        <v>548</v>
      </c>
      <c r="J49" s="1" t="s">
        <v>6</v>
      </c>
      <c r="K49" s="1" t="s">
        <v>6</v>
      </c>
      <c r="L49" s="1" t="s">
        <v>6</v>
      </c>
      <c r="M49" s="2" t="s">
        <v>248</v>
      </c>
      <c r="N49" s="1" t="s">
        <v>485</v>
      </c>
      <c r="O49" s="1" t="s">
        <v>546</v>
      </c>
    </row>
    <row r="50" spans="2:15" x14ac:dyDescent="0.4">
      <c r="B50" s="1" t="s">
        <v>171</v>
      </c>
      <c r="C50" s="2" t="s">
        <v>26</v>
      </c>
      <c r="D50" s="2" t="s">
        <v>457</v>
      </c>
      <c r="E50" s="1" t="s">
        <v>93</v>
      </c>
      <c r="F50" s="1" t="str">
        <f>_xlfn.XLOOKUP(表格1[[#This Row],[Dish]],dish_trans!A:A,dish_trans!B:B)</f>
        <v>Mango and Vegetarian Eel Sushi</v>
      </c>
      <c r="G50" s="1" t="str">
        <f>_xlfn.XLOOKUP(表格1[[#This Row],[Dish]],dish_trans[中文菜名 (Chinese)],dish_trans[菲律賓文翻譯 (Filipino/Tagalog)])</f>
        <v>Sushi na may Mangga at Vegetarian na Igat</v>
      </c>
      <c r="H50" s="1" t="str">
        <f>_xlfn.XLOOKUP(表格1[[#This Row],[Dish]],dish_trans[中文菜名 (Chinese)],dish_trans[印尼文翻譯 (Indonesian)2])</f>
        <v>Sushi Mangga dan Belut Vegetarian</v>
      </c>
      <c r="I50" s="1" t="s">
        <v>548</v>
      </c>
      <c r="J50" s="1" t="s">
        <v>6</v>
      </c>
      <c r="K50" s="1" t="s">
        <v>6</v>
      </c>
      <c r="L50" s="1" t="s">
        <v>6</v>
      </c>
      <c r="M50" s="2" t="s">
        <v>248</v>
      </c>
      <c r="N50" s="1" t="s">
        <v>459</v>
      </c>
      <c r="O50" s="1" t="s">
        <v>546</v>
      </c>
    </row>
    <row r="51" spans="2:15" x14ac:dyDescent="0.4">
      <c r="B51" s="1" t="s">
        <v>172</v>
      </c>
      <c r="C51" s="2" t="s">
        <v>107</v>
      </c>
      <c r="D51" s="2" t="s">
        <v>110</v>
      </c>
      <c r="E51" s="1" t="s">
        <v>72</v>
      </c>
      <c r="F51" s="1" t="str">
        <f>_xlfn.XLOOKUP(表格1[[#This Row],[Dish]],dish_trans!A:A,dish_trans!B:B)</f>
        <v>Satay Skewers</v>
      </c>
      <c r="G51" s="1" t="str">
        <f>_xlfn.XLOOKUP(表格1[[#This Row],[Dish]],dish_trans[中文菜名 (Chinese)],dish_trans[菲律賓文翻譯 (Filipino/Tagalog)])</f>
        <v>Mga Tuhog na Satay</v>
      </c>
      <c r="H51" s="1" t="str">
        <f>_xlfn.XLOOKUP(表格1[[#This Row],[Dish]],dish_trans[中文菜名 (Chinese)],dish_trans[印尼文翻譯 (Indonesian)2])</f>
        <v>Sate</v>
      </c>
      <c r="I51" s="1" t="s">
        <v>548</v>
      </c>
      <c r="J51" s="1" t="s">
        <v>6</v>
      </c>
      <c r="K51" s="1" t="s">
        <v>6</v>
      </c>
      <c r="L51" s="1" t="s">
        <v>7</v>
      </c>
      <c r="M51" s="2" t="s">
        <v>229</v>
      </c>
      <c r="N51" s="1" t="s">
        <v>459</v>
      </c>
      <c r="O51" s="1" t="s">
        <v>542</v>
      </c>
    </row>
    <row r="52" spans="2:15" x14ac:dyDescent="0.4">
      <c r="B52" s="1" t="s">
        <v>173</v>
      </c>
      <c r="C52" s="2" t="s">
        <v>107</v>
      </c>
      <c r="D52" s="2" t="s">
        <v>457</v>
      </c>
      <c r="E52" s="6" t="s">
        <v>78</v>
      </c>
      <c r="F52" s="1" t="str">
        <f>_xlfn.XLOOKUP(表格1[[#This Row],[Dish]],dish_trans!A:A,dish_trans!B:B)</f>
        <v>Vegetarian Satay Skewers</v>
      </c>
      <c r="G52" s="1" t="str">
        <f>_xlfn.XLOOKUP(表格1[[#This Row],[Dish]],dish_trans[中文菜名 (Chinese)],dish_trans[菲律賓文翻譯 (Filipino/Tagalog)])</f>
        <v>Mga Tuhog na Vegetarian Satay</v>
      </c>
      <c r="H52" s="1" t="str">
        <f>_xlfn.XLOOKUP(表格1[[#This Row],[Dish]],dish_trans[中文菜名 (Chinese)],dish_trans[印尼文翻譯 (Indonesian)2])</f>
        <v>Sate Vegetarian</v>
      </c>
      <c r="I52" s="1" t="s">
        <v>548</v>
      </c>
      <c r="J52" s="1" t="s">
        <v>6</v>
      </c>
      <c r="K52" s="1" t="s">
        <v>6</v>
      </c>
      <c r="L52" s="1" t="s">
        <v>7</v>
      </c>
      <c r="M52" s="2" t="s">
        <v>248</v>
      </c>
      <c r="N52" s="1" t="s">
        <v>459</v>
      </c>
      <c r="O52" s="1" t="s">
        <v>542</v>
      </c>
    </row>
    <row r="53" spans="2:15" x14ac:dyDescent="0.4">
      <c r="B53" s="1" t="s">
        <v>174</v>
      </c>
      <c r="C53" s="2" t="s">
        <v>106</v>
      </c>
      <c r="D53" s="2" t="s">
        <v>110</v>
      </c>
      <c r="E53" s="1" t="s">
        <v>57</v>
      </c>
      <c r="F53" s="1" t="str">
        <f>_xlfn.XLOOKUP(表格1[[#This Row],[Dish]],dish_trans!A:A,dish_trans!B:B)</f>
        <v>Indian Butter Chicken</v>
      </c>
      <c r="G53" s="1" t="str">
        <f>_xlfn.XLOOKUP(表格1[[#This Row],[Dish]],dish_trans[中文菜名 (Chinese)],dish_trans[菲律賓文翻譯 (Filipino/Tagalog)])</f>
        <v>Indian Butter Chicken</v>
      </c>
      <c r="H53" s="1" t="str">
        <f>_xlfn.XLOOKUP(表格1[[#This Row],[Dish]],dish_trans[中文菜名 (Chinese)],dish_trans[印尼文翻譯 (Indonesian)2])</f>
        <v>Ayam Mentega India</v>
      </c>
      <c r="I53" s="1" t="s">
        <v>548</v>
      </c>
      <c r="J53" s="1" t="s">
        <v>7</v>
      </c>
      <c r="K53" s="1" t="s">
        <v>6</v>
      </c>
      <c r="L53" s="1" t="s">
        <v>7</v>
      </c>
      <c r="M53" s="2" t="s">
        <v>229</v>
      </c>
      <c r="N53" s="1" t="s">
        <v>459</v>
      </c>
      <c r="O53" s="1" t="s">
        <v>544</v>
      </c>
    </row>
    <row r="54" spans="2:15" x14ac:dyDescent="0.4">
      <c r="B54" s="1" t="s">
        <v>175</v>
      </c>
      <c r="C54" s="2" t="s">
        <v>5</v>
      </c>
      <c r="D54" s="2" t="s">
        <v>458</v>
      </c>
      <c r="E54" s="1" t="s">
        <v>46</v>
      </c>
      <c r="F54" s="1" t="str">
        <f>_xlfn.XLOOKUP(表格1[[#This Row],[Dish]],dish_trans!A:A,dish_trans!B:B)</f>
        <v>Buffalo-style Mushrooms</v>
      </c>
      <c r="G54" s="1" t="str">
        <f>_xlfn.XLOOKUP(表格1[[#This Row],[Dish]],dish_trans[中文菜名 (Chinese)],dish_trans[菲律賓文翻譯 (Filipino/Tagalog)])</f>
        <v>Kabute na Estilong Buffalo</v>
      </c>
      <c r="H54" s="1" t="str">
        <f>_xlfn.XLOOKUP(表格1[[#This Row],[Dish]],dish_trans[中文菜名 (Chinese)],dish_trans[印尼文翻譯 (Indonesian)2])</f>
        <v>Jamur ala Buffalo</v>
      </c>
      <c r="I54" s="1" t="s">
        <v>548</v>
      </c>
      <c r="J54" s="1" t="s">
        <v>6</v>
      </c>
      <c r="K54" s="1" t="s">
        <v>6</v>
      </c>
      <c r="L54" s="1" t="s">
        <v>7</v>
      </c>
      <c r="M54" s="2" t="s">
        <v>248</v>
      </c>
      <c r="N54" s="1" t="s">
        <v>463</v>
      </c>
      <c r="O54" s="1" t="s">
        <v>544</v>
      </c>
    </row>
    <row r="55" spans="2:15" x14ac:dyDescent="0.4">
      <c r="B55" s="1" t="s">
        <v>176</v>
      </c>
      <c r="C55" s="2" t="s">
        <v>5</v>
      </c>
      <c r="D55" s="1" t="s">
        <v>17</v>
      </c>
      <c r="E55" s="1" t="s">
        <v>24</v>
      </c>
      <c r="F55" s="1" t="str">
        <f>_xlfn.XLOOKUP(表格1[[#This Row],[Dish]],dish_trans!A:A,dish_trans!B:B)</f>
        <v>Milk Pudding</v>
      </c>
      <c r="G55" s="1" t="str">
        <f>_xlfn.XLOOKUP(表格1[[#This Row],[Dish]],dish_trans[中文菜名 (Chinese)],dish_trans[菲律賓文翻譯 (Filipino/Tagalog)])</f>
        <v>Puding na Gatas</v>
      </c>
      <c r="H55" s="1" t="str">
        <f>_xlfn.XLOOKUP(表格1[[#This Row],[Dish]],dish_trans[中文菜名 (Chinese)],dish_trans[印尼文翻譯 (Indonesian)2])</f>
        <v>Puding Susu</v>
      </c>
      <c r="I55" s="1" t="s">
        <v>548</v>
      </c>
      <c r="J55" s="1" t="s">
        <v>7</v>
      </c>
      <c r="K55" s="1" t="s">
        <v>7</v>
      </c>
      <c r="L55" s="1" t="s">
        <v>7</v>
      </c>
      <c r="M55" s="2" t="s">
        <v>249</v>
      </c>
      <c r="N55" s="1" t="s">
        <v>462</v>
      </c>
      <c r="O55" s="1" t="s">
        <v>548</v>
      </c>
    </row>
    <row r="56" spans="2:15" x14ac:dyDescent="0.4">
      <c r="B56" s="1" t="s">
        <v>177</v>
      </c>
      <c r="C56" s="1" t="s">
        <v>5</v>
      </c>
      <c r="D56" s="2" t="s">
        <v>110</v>
      </c>
      <c r="E56" s="1" t="s">
        <v>11</v>
      </c>
      <c r="F56" s="1" t="str">
        <f>_xlfn.XLOOKUP(表格1[[#This Row],[Dish]],dish_trans!A:A,dish_trans!B:B)</f>
        <v>Chicken Steak in Cream Sauce</v>
      </c>
      <c r="G56" s="1" t="str">
        <f>_xlfn.XLOOKUP(表格1[[#This Row],[Dish]],dish_trans[中文菜名 (Chinese)],dish_trans[菲律賓文翻譯 (Filipino/Tagalog)])</f>
        <v>Chicken Steak na Nilaga sa Sarsang Cream</v>
      </c>
      <c r="H56" s="1" t="str">
        <f>_xlfn.XLOOKUP(表格1[[#This Row],[Dish]],dish_trans[中文菜名 (Chinese)],dish_trans[印尼文翻譯 (Indonesian)2])</f>
        <v>Steik Ayam Rebus Saus Krim</v>
      </c>
      <c r="I56" s="1" t="s">
        <v>548</v>
      </c>
      <c r="J56" s="1" t="s">
        <v>6</v>
      </c>
      <c r="K56" s="1" t="s">
        <v>6</v>
      </c>
      <c r="L56" s="1" t="s">
        <v>7</v>
      </c>
      <c r="M56" s="2" t="s">
        <v>229</v>
      </c>
      <c r="N56" s="1" t="s">
        <v>459</v>
      </c>
      <c r="O56" s="1" t="s">
        <v>544</v>
      </c>
    </row>
    <row r="57" spans="2:15" x14ac:dyDescent="0.4">
      <c r="B57" s="1" t="s">
        <v>178</v>
      </c>
      <c r="C57" s="2" t="s">
        <v>5</v>
      </c>
      <c r="D57" s="2" t="s">
        <v>458</v>
      </c>
      <c r="E57" s="1" t="s">
        <v>99</v>
      </c>
      <c r="F57" s="1" t="str">
        <f>_xlfn.XLOOKUP(表格1[[#This Row],[Dish]],dish_trans!A:A,dish_trans!B:B)</f>
        <v>Hong Kong-style French Toast with Avocado</v>
      </c>
      <c r="G57" s="1" t="str">
        <f>_xlfn.XLOOKUP(表格1[[#This Row],[Dish]],dish_trans[中文菜名 (Chinese)],dish_trans[菲律賓文翻譯 (Filipino/Tagalog)])</f>
        <v>Hong Kong-style French Toast na may Abokado</v>
      </c>
      <c r="H57" s="1" t="str">
        <f>_xlfn.XLOOKUP(表格1[[#This Row],[Dish]],dish_trans[中文菜名 (Chinese)],dish_trans[印尼文翻譯 (Indonesian)2])</f>
        <v>French Toast ala Hong Kong dengan Alpukat</v>
      </c>
      <c r="I57" s="1" t="s">
        <v>556</v>
      </c>
      <c r="J57" s="1" t="s">
        <v>6</v>
      </c>
      <c r="K57" s="1" t="s">
        <v>7</v>
      </c>
      <c r="L57" s="1" t="s">
        <v>6</v>
      </c>
      <c r="M57" s="2" t="s">
        <v>248</v>
      </c>
      <c r="N57" s="1" t="s">
        <v>534</v>
      </c>
      <c r="O57" s="1" t="s">
        <v>544</v>
      </c>
    </row>
    <row r="58" spans="2:15" x14ac:dyDescent="0.4">
      <c r="B58" s="1" t="s">
        <v>179</v>
      </c>
      <c r="C58" s="2" t="s">
        <v>5</v>
      </c>
      <c r="D58" s="2" t="s">
        <v>110</v>
      </c>
      <c r="E58" s="1" t="s">
        <v>29</v>
      </c>
      <c r="F58" s="1" t="str">
        <f>_xlfn.XLOOKUP(表格1[[#This Row],[Dish]],dish_trans!A:A,dish_trans!B:B)</f>
        <v>Baked Potato Pie with Meat Sauce and Cheese</v>
      </c>
      <c r="G58" s="1" t="str">
        <f>_xlfn.XLOOKUP(表格1[[#This Row],[Dish]],dish_trans[中文菜名 (Chinese)],dish_trans[菲律賓文翻譯 (Filipino/Tagalog)])</f>
        <v>Inihurnong Potato Pie na may Sarsang Karne at Keso</v>
      </c>
      <c r="H58" s="1" t="str">
        <f>_xlfn.XLOOKUP(表格1[[#This Row],[Dish]],dish_trans[中文菜名 (Chinese)],dish_trans[印尼文翻譯 (Indonesian)2])</f>
        <v>Pai Kentang Panggang dengan Saus Daging dan Keju</v>
      </c>
      <c r="I58" s="1" t="s">
        <v>548</v>
      </c>
      <c r="J58" s="1" t="s">
        <v>6</v>
      </c>
      <c r="K58" s="1" t="s">
        <v>6</v>
      </c>
      <c r="L58" s="1" t="s">
        <v>7</v>
      </c>
      <c r="M58" s="2" t="s">
        <v>226</v>
      </c>
      <c r="N58" s="1" t="s">
        <v>534</v>
      </c>
      <c r="O58" s="1" t="s">
        <v>542</v>
      </c>
    </row>
    <row r="59" spans="2:15" x14ac:dyDescent="0.4">
      <c r="B59" s="1" t="s">
        <v>180</v>
      </c>
      <c r="C59" s="2" t="s">
        <v>5</v>
      </c>
      <c r="D59" s="1" t="s">
        <v>17</v>
      </c>
      <c r="E59" s="1" t="s">
        <v>32</v>
      </c>
      <c r="F59" s="1" t="str">
        <f>_xlfn.XLOOKUP(表格1[[#This Row],[Dish]],dish_trans!A:A,dish_trans!B:B)</f>
        <v>Cheese Sandwich</v>
      </c>
      <c r="G59" s="1" t="str">
        <f>_xlfn.XLOOKUP(表格1[[#This Row],[Dish]],dish_trans[中文菜名 (Chinese)],dish_trans[菲律賓文翻譯 (Filipino/Tagalog)])</f>
        <v>Sandwich na Keso</v>
      </c>
      <c r="H59" s="1" t="str">
        <f>_xlfn.XLOOKUP(表格1[[#This Row],[Dish]],dish_trans[中文菜名 (Chinese)],dish_trans[印尼文翻譯 (Indonesian)2])</f>
        <v>Roti Lapis Keju</v>
      </c>
      <c r="I59" s="1" t="s">
        <v>556</v>
      </c>
      <c r="J59" s="1" t="s">
        <v>6</v>
      </c>
      <c r="K59" s="1" t="s">
        <v>7</v>
      </c>
      <c r="L59" s="1" t="s">
        <v>6</v>
      </c>
      <c r="M59" s="2" t="s">
        <v>249</v>
      </c>
      <c r="N59" s="1" t="s">
        <v>534</v>
      </c>
      <c r="O59" s="1" t="s">
        <v>544</v>
      </c>
    </row>
    <row r="60" spans="2:15" x14ac:dyDescent="0.4">
      <c r="B60" s="1" t="s">
        <v>181</v>
      </c>
      <c r="C60" s="2" t="s">
        <v>5</v>
      </c>
      <c r="D60" s="2" t="s">
        <v>110</v>
      </c>
      <c r="E60" s="1" t="s">
        <v>48</v>
      </c>
      <c r="F60" s="1" t="str">
        <f>_xlfn.XLOOKUP(表格1[[#This Row],[Dish]],dish_trans!A:A,dish_trans!B:B)</f>
        <v>Mussels with Tomatoes</v>
      </c>
      <c r="G60" s="1" t="str">
        <f>_xlfn.XLOOKUP(表格1[[#This Row],[Dish]],dish_trans[中文菜名 (Chinese)],dish_trans[菲律賓文翻譯 (Filipino/Tagalog)])</f>
        <v>Tahong na may Kamatis</v>
      </c>
      <c r="H60" s="1" t="str">
        <f>_xlfn.XLOOKUP(表格1[[#This Row],[Dish]],dish_trans[中文菜名 (Chinese)],dish_trans[印尼文翻譯 (Indonesian)2])</f>
        <v>Kerang Hijau dengan Tomat</v>
      </c>
      <c r="I60" s="1" t="s">
        <v>548</v>
      </c>
      <c r="J60" s="1" t="s">
        <v>6</v>
      </c>
      <c r="K60" s="1" t="s">
        <v>6</v>
      </c>
      <c r="L60" s="1" t="s">
        <v>7</v>
      </c>
      <c r="M60" s="2" t="s">
        <v>228</v>
      </c>
      <c r="N60" s="1" t="s">
        <v>459</v>
      </c>
      <c r="O60" s="1" t="s">
        <v>544</v>
      </c>
    </row>
    <row r="61" spans="2:15" x14ac:dyDescent="0.4">
      <c r="B61" s="1" t="s">
        <v>182</v>
      </c>
      <c r="C61" s="2" t="s">
        <v>5</v>
      </c>
      <c r="D61" s="2" t="s">
        <v>110</v>
      </c>
      <c r="E61" s="1" t="s">
        <v>51</v>
      </c>
      <c r="F61" s="1" t="str">
        <f>_xlfn.XLOOKUP(表格1[[#This Row],[Dish]],dish_trans!A:A,dish_trans!B:B)</f>
        <v>Thai-style Pork Chops</v>
      </c>
      <c r="G61" s="1" t="str">
        <f>_xlfn.XLOOKUP(表格1[[#This Row],[Dish]],dish_trans[中文菜名 (Chinese)],dish_trans[菲律賓文翻譯 (Filipino/Tagalog)])</f>
        <v>Pork Chop na Estilong Thai</v>
      </c>
      <c r="H61" s="1" t="str">
        <f>_xlfn.XLOOKUP(表格1[[#This Row],[Dish]],dish_trans[中文菜名 (Chinese)],dish_trans[印尼文翻譯 (Indonesian)2])</f>
        <v>Potongan Babi ala Thailand</v>
      </c>
      <c r="I61" s="1" t="s">
        <v>548</v>
      </c>
      <c r="J61" s="1" t="s">
        <v>6</v>
      </c>
      <c r="K61" s="1" t="s">
        <v>6</v>
      </c>
      <c r="L61" s="1" t="s">
        <v>7</v>
      </c>
      <c r="M61" s="2" t="s">
        <v>226</v>
      </c>
      <c r="N61" s="1" t="s">
        <v>459</v>
      </c>
      <c r="O61" s="1" t="s">
        <v>542</v>
      </c>
    </row>
    <row r="62" spans="2:15" x14ac:dyDescent="0.4">
      <c r="B62" s="1" t="s">
        <v>183</v>
      </c>
      <c r="C62" s="2" t="s">
        <v>5</v>
      </c>
      <c r="D62" s="2" t="s">
        <v>457</v>
      </c>
      <c r="E62" s="1" t="s">
        <v>52</v>
      </c>
      <c r="F62" s="1" t="str">
        <f>_xlfn.XLOOKUP(表格1[[#This Row],[Dish]],dish_trans!A:A,dish_trans!B:B)</f>
        <v>Onion Soup</v>
      </c>
      <c r="G62" s="1" t="str">
        <f>_xlfn.XLOOKUP(表格1[[#This Row],[Dish]],dish_trans[中文菜名 (Chinese)],dish_trans[菲律賓文翻譯 (Filipino/Tagalog)])</f>
        <v>Sabaw ng Sibuyas</v>
      </c>
      <c r="H62" s="1" t="str">
        <f>_xlfn.XLOOKUP(表格1[[#This Row],[Dish]],dish_trans[中文菜名 (Chinese)],dish_trans[印尼文翻譯 (Indonesian)2])</f>
        <v>Sup Bawang Bombai</v>
      </c>
      <c r="I62" s="1" t="s">
        <v>548</v>
      </c>
      <c r="J62" s="1" t="s">
        <v>7</v>
      </c>
      <c r="K62" s="1" t="s">
        <v>6</v>
      </c>
      <c r="L62" s="1" t="s">
        <v>7</v>
      </c>
      <c r="M62" s="2" t="s">
        <v>248</v>
      </c>
      <c r="N62" s="2" t="s">
        <v>460</v>
      </c>
      <c r="O62" s="1" t="s">
        <v>542</v>
      </c>
    </row>
    <row r="63" spans="2:15" x14ac:dyDescent="0.4">
      <c r="B63" s="1" t="s">
        <v>184</v>
      </c>
      <c r="C63" s="2" t="s">
        <v>5</v>
      </c>
      <c r="D63" s="2" t="s">
        <v>110</v>
      </c>
      <c r="E63" s="1" t="s">
        <v>53</v>
      </c>
      <c r="F63" s="1" t="str">
        <f>_xlfn.XLOOKUP(表格1[[#This Row],[Dish]],dish_trans!A:A,dish_trans!B:B)</f>
        <v>Rack of Lamb</v>
      </c>
      <c r="G63" s="1" t="str">
        <f>_xlfn.XLOOKUP(表格1[[#This Row],[Dish]],dish_trans[中文菜名 (Chinese)],dish_trans[菲律賓文翻譯 (Filipino/Tagalog)])</f>
        <v>Tadyang ng Tupa</v>
      </c>
      <c r="H63" s="1" t="str">
        <f>_xlfn.XLOOKUP(表格1[[#This Row],[Dish]],dish_trans[中文菜名 (Chinese)],dish_trans[印尼文翻譯 (Indonesian)2])</f>
        <v>Iga Domba</v>
      </c>
      <c r="I63" s="1" t="s">
        <v>548</v>
      </c>
      <c r="J63" s="1" t="s">
        <v>7</v>
      </c>
      <c r="K63" s="1" t="s">
        <v>6</v>
      </c>
      <c r="L63" s="1" t="s">
        <v>7</v>
      </c>
      <c r="M63" s="2" t="s">
        <v>230</v>
      </c>
      <c r="N63" s="1" t="s">
        <v>459</v>
      </c>
      <c r="O63" s="1" t="s">
        <v>544</v>
      </c>
    </row>
    <row r="64" spans="2:15" x14ac:dyDescent="0.4">
      <c r="B64" s="1" t="s">
        <v>185</v>
      </c>
      <c r="C64" s="2" t="s">
        <v>5</v>
      </c>
      <c r="D64" s="1" t="s">
        <v>17</v>
      </c>
      <c r="E64" s="1" t="s">
        <v>54</v>
      </c>
      <c r="F64" s="1" t="str">
        <f>_xlfn.XLOOKUP(表格1[[#This Row],[Dish]],dish_trans!A:A,dish_trans!B:B)</f>
        <v>Egg and Potato Salad</v>
      </c>
      <c r="G64" s="1" t="str">
        <f>_xlfn.XLOOKUP(表格1[[#This Row],[Dish]],dish_trans[中文菜名 (Chinese)],dish_trans[菲律賓文翻譯 (Filipino/Tagalog)])</f>
        <v>Salad ng Itlog at Patatas</v>
      </c>
      <c r="H64" s="1" t="str">
        <f>_xlfn.XLOOKUP(表格1[[#This Row],[Dish]],dish_trans[中文菜名 (Chinese)],dish_trans[印尼文翻譯 (Indonesian)2])</f>
        <v>Salad Telur dan Kentang</v>
      </c>
      <c r="I64" s="1" t="s">
        <v>548</v>
      </c>
      <c r="J64" s="1" t="s">
        <v>6</v>
      </c>
      <c r="K64" s="1" t="s">
        <v>6</v>
      </c>
      <c r="L64" s="1" t="s">
        <v>7</v>
      </c>
      <c r="M64" s="2" t="s">
        <v>227</v>
      </c>
      <c r="N64" s="1" t="s">
        <v>463</v>
      </c>
      <c r="O64" s="1" t="s">
        <v>544</v>
      </c>
    </row>
    <row r="65" spans="1:18" x14ac:dyDescent="0.4">
      <c r="B65" s="1" t="s">
        <v>186</v>
      </c>
      <c r="C65" s="2" t="s">
        <v>5</v>
      </c>
      <c r="D65" s="1" t="s">
        <v>17</v>
      </c>
      <c r="E65" s="1" t="s">
        <v>55</v>
      </c>
      <c r="F65" s="1" t="str">
        <f>_xlfn.XLOOKUP(表格1[[#This Row],[Dish]],dish_trans!A:A,dish_trans!B:B)</f>
        <v>Mexican Cheese Quesadilla</v>
      </c>
      <c r="G65" s="1" t="str">
        <f>_xlfn.XLOOKUP(表格1[[#This Row],[Dish]],dish_trans[中文菜名 (Chinese)],dish_trans[菲律賓文翻譯 (Filipino/Tagalog)])</f>
        <v>Quesadilla na Keso</v>
      </c>
      <c r="H65" s="1" t="str">
        <f>_xlfn.XLOOKUP(表格1[[#This Row],[Dish]],dish_trans[中文菜名 (Chinese)],dish_trans[印尼文翻譯 (Indonesian)2])</f>
        <v>Quesadilla Keju Meksiko</v>
      </c>
      <c r="I65" s="1" t="s">
        <v>548</v>
      </c>
      <c r="J65" s="1" t="s">
        <v>6</v>
      </c>
      <c r="K65" s="1" t="s">
        <v>6</v>
      </c>
      <c r="L65" s="1" t="s">
        <v>6</v>
      </c>
      <c r="M65" s="2" t="s">
        <v>249</v>
      </c>
      <c r="N65" s="1" t="s">
        <v>534</v>
      </c>
      <c r="O65" s="1" t="s">
        <v>544</v>
      </c>
    </row>
    <row r="66" spans="1:18" x14ac:dyDescent="0.4">
      <c r="B66" s="1" t="s">
        <v>187</v>
      </c>
      <c r="C66" s="2" t="s">
        <v>5</v>
      </c>
      <c r="D66" s="1" t="s">
        <v>17</v>
      </c>
      <c r="E66" s="1" t="s">
        <v>60</v>
      </c>
      <c r="F66" s="1" t="str">
        <f>_xlfn.XLOOKUP(表格1[[#This Row],[Dish]],dish_trans!A:A,dish_trans!B:B)</f>
        <v>Baked Spinach and Potatoes with White Sauce and Cheese</v>
      </c>
      <c r="G66" s="1" t="str">
        <f>_xlfn.XLOOKUP(表格1[[#This Row],[Dish]],dish_trans[中文菜名 (Chinese)],dish_trans[菲律賓文翻譯 (Filipino/Tagalog)])</f>
        <v>Inihurnong Espinaka at Patatas na may Puting Sarsa at Keso</v>
      </c>
      <c r="H66" s="1" t="str">
        <f>_xlfn.XLOOKUP(表格1[[#This Row],[Dish]],dish_trans[中文菜名 (Chinese)],dish_trans[印尼文翻譯 (Indonesian)2])</f>
        <v>Bayam dan Kentang Panggang Saus Putih dan Keju</v>
      </c>
      <c r="I66" s="1" t="s">
        <v>548</v>
      </c>
      <c r="J66" s="1" t="s">
        <v>6</v>
      </c>
      <c r="K66" s="1" t="s">
        <v>6</v>
      </c>
      <c r="L66" s="1" t="s">
        <v>7</v>
      </c>
      <c r="M66" s="2" t="s">
        <v>248</v>
      </c>
      <c r="N66" s="1" t="s">
        <v>463</v>
      </c>
      <c r="O66" s="1" t="s">
        <v>542</v>
      </c>
    </row>
    <row r="67" spans="1:18" x14ac:dyDescent="0.4">
      <c r="B67" s="1" t="s">
        <v>188</v>
      </c>
      <c r="C67" s="2" t="s">
        <v>5</v>
      </c>
      <c r="D67" s="1" t="s">
        <v>16</v>
      </c>
      <c r="E67" s="5" t="s">
        <v>61</v>
      </c>
      <c r="F67" s="1" t="str">
        <f>_xlfn.XLOOKUP(表格1[[#This Row],[Dish]],dish_trans!A:A,dish_trans!B:B)</f>
        <v>Vegan Banana Pancakes</v>
      </c>
      <c r="G67" s="1" t="str">
        <f>_xlfn.XLOOKUP(表格1[[#This Row],[Dish]],dish_trans[中文菜名 (Chinese)],dish_trans[菲律賓文翻譯 (Filipino/Tagalog)])</f>
        <v>Vegan na Pancake na Saging</v>
      </c>
      <c r="H67" s="1" t="str">
        <f>_xlfn.XLOOKUP(表格1[[#This Row],[Dish]],dish_trans[中文菜名 (Chinese)],dish_trans[印尼文翻譯 (Indonesian)2])</f>
        <v>Panekuk Pisang Vegan</v>
      </c>
      <c r="I67" s="1" t="s">
        <v>556</v>
      </c>
      <c r="J67" s="1" t="s">
        <v>7</v>
      </c>
      <c r="K67" s="1" t="s">
        <v>7</v>
      </c>
      <c r="L67" s="1" t="s">
        <v>6</v>
      </c>
      <c r="M67" s="2" t="s">
        <v>248</v>
      </c>
      <c r="N67" s="1" t="s">
        <v>536</v>
      </c>
      <c r="O67" s="1" t="s">
        <v>544</v>
      </c>
    </row>
    <row r="68" spans="1:18" x14ac:dyDescent="0.4">
      <c r="B68" s="1" t="s">
        <v>189</v>
      </c>
      <c r="C68" s="2" t="s">
        <v>5</v>
      </c>
      <c r="D68" s="1" t="s">
        <v>17</v>
      </c>
      <c r="E68" s="1" t="s">
        <v>62</v>
      </c>
      <c r="F68" s="1" t="str">
        <f>_xlfn.XLOOKUP(表格1[[#This Row],[Dish]],dish_trans!A:A,dish_trans!B:B)</f>
        <v>Banana Pancakes</v>
      </c>
      <c r="G68" s="1" t="str">
        <f>_xlfn.XLOOKUP(表格1[[#This Row],[Dish]],dish_trans[中文菜名 (Chinese)],dish_trans[菲律賓文翻譯 (Filipino/Tagalog)])</f>
        <v>Pancake na Saging</v>
      </c>
      <c r="H68" s="1" t="str">
        <f>_xlfn.XLOOKUP(表格1[[#This Row],[Dish]],dish_trans[中文菜名 (Chinese)],dish_trans[印尼文翻譯 (Indonesian)2])</f>
        <v>Panekuk Pisang</v>
      </c>
      <c r="I68" s="1" t="s">
        <v>556</v>
      </c>
      <c r="J68" s="1" t="s">
        <v>7</v>
      </c>
      <c r="K68" s="1" t="s">
        <v>7</v>
      </c>
      <c r="L68" s="1" t="s">
        <v>6</v>
      </c>
      <c r="M68" s="2" t="s">
        <v>248</v>
      </c>
      <c r="N68" s="1" t="s">
        <v>536</v>
      </c>
      <c r="O68" s="1" t="s">
        <v>542</v>
      </c>
    </row>
    <row r="69" spans="1:18" x14ac:dyDescent="0.4">
      <c r="B69" s="1" t="s">
        <v>190</v>
      </c>
      <c r="C69" s="2" t="s">
        <v>5</v>
      </c>
      <c r="D69" s="1" t="s">
        <v>17</v>
      </c>
      <c r="E69" s="1" t="s">
        <v>65</v>
      </c>
      <c r="F69" s="1" t="str">
        <f>_xlfn.XLOOKUP(表格1[[#This Row],[Dish]],dish_trans!A:A,dish_trans!B:B)</f>
        <v>Yogurt</v>
      </c>
      <c r="G69" s="1" t="str">
        <f>_xlfn.XLOOKUP(表格1[[#This Row],[Dish]],dish_trans[中文菜名 (Chinese)],dish_trans[菲律賓文翻譯 (Filipino/Tagalog)])</f>
        <v>Yogurt</v>
      </c>
      <c r="H69" s="1" t="str">
        <f>_xlfn.XLOOKUP(表格1[[#This Row],[Dish]],dish_trans[中文菜名 (Chinese)],dish_trans[印尼文翻譯 (Indonesian)2])</f>
        <v>Yoghurt</v>
      </c>
      <c r="I69" s="1" t="s">
        <v>559</v>
      </c>
      <c r="J69" s="1" t="s">
        <v>7</v>
      </c>
      <c r="K69" s="1" t="s">
        <v>7</v>
      </c>
      <c r="L69" s="1" t="s">
        <v>6</v>
      </c>
      <c r="M69" s="2" t="s">
        <v>249</v>
      </c>
      <c r="N69" s="1" t="s">
        <v>462</v>
      </c>
      <c r="O69" s="1" t="s">
        <v>546</v>
      </c>
    </row>
    <row r="70" spans="1:18" x14ac:dyDescent="0.4">
      <c r="B70" s="1" t="s">
        <v>191</v>
      </c>
      <c r="C70" s="2" t="s">
        <v>5</v>
      </c>
      <c r="D70" s="2" t="s">
        <v>110</v>
      </c>
      <c r="E70" s="1" t="s">
        <v>74</v>
      </c>
      <c r="F70" s="1" t="str">
        <f>_xlfn.XLOOKUP(表格1[[#This Row],[Dish]],dish_trans!A:A,dish_trans!B:B)</f>
        <v>Shepherd's Pie</v>
      </c>
      <c r="G70" s="1" t="str">
        <f>_xlfn.XLOOKUP(表格1[[#This Row],[Dish]],dish_trans[中文菜名 (Chinese)],dish_trans[菲律賓文翻譯 (Filipino/Tagalog)])</f>
        <v>Shepherd's Pie</v>
      </c>
      <c r="H70" s="1" t="str">
        <f>_xlfn.XLOOKUP(表格1[[#This Row],[Dish]],dish_trans[中文菜名 (Chinese)],dish_trans[印尼文翻譯 (Indonesian)2])</f>
        <v>Pai Gembala</v>
      </c>
      <c r="I70" s="1" t="s">
        <v>548</v>
      </c>
      <c r="J70" s="1" t="s">
        <v>6</v>
      </c>
      <c r="K70" s="1" t="s">
        <v>6</v>
      </c>
      <c r="L70" s="1" t="s">
        <v>7</v>
      </c>
      <c r="M70" s="2" t="s">
        <v>226</v>
      </c>
      <c r="N70" s="1" t="s">
        <v>534</v>
      </c>
      <c r="O70" s="1" t="s">
        <v>542</v>
      </c>
    </row>
    <row r="71" spans="1:18" x14ac:dyDescent="0.4">
      <c r="B71" s="1" t="s">
        <v>192</v>
      </c>
      <c r="C71" s="2" t="s">
        <v>5</v>
      </c>
      <c r="D71" s="1" t="s">
        <v>17</v>
      </c>
      <c r="E71" s="6" t="s">
        <v>75</v>
      </c>
      <c r="F71" s="1" t="str">
        <f>_xlfn.XLOOKUP(表格1[[#This Row],[Dish]],dish_trans!A:A,dish_trans!B:B)</f>
        <v>Creamy Pumpkin and Wild Mushroom Rice</v>
      </c>
      <c r="G71" s="1" t="str">
        <f>_xlfn.XLOOKUP(表格1[[#This Row],[Dish]],dish_trans[中文菜名 (Chinese)],dish_trans[菲律賓文翻譯 (Filipino/Tagalog)])</f>
        <v>Kanin na may Cream, Kalabasa at Ligaw na Kabute</v>
      </c>
      <c r="H71" s="1" t="str">
        <f>_xlfn.XLOOKUP(表格1[[#This Row],[Dish]],dish_trans[中文菜名 (Chinese)],dish_trans[印尼文翻譯 (Indonesian)2])</f>
        <v>Nasi Krim Labu dan Jamur Liar</v>
      </c>
      <c r="I71" s="1" t="s">
        <v>548</v>
      </c>
      <c r="J71" s="1" t="s">
        <v>6</v>
      </c>
      <c r="K71" s="1" t="s">
        <v>6</v>
      </c>
      <c r="L71" s="1" t="s">
        <v>7</v>
      </c>
      <c r="M71" s="2" t="s">
        <v>248</v>
      </c>
      <c r="N71" s="1" t="s">
        <v>534</v>
      </c>
      <c r="O71" s="1" t="s">
        <v>544</v>
      </c>
    </row>
    <row r="72" spans="1:18" x14ac:dyDescent="0.4">
      <c r="B72" s="1" t="s">
        <v>193</v>
      </c>
      <c r="C72" s="2" t="s">
        <v>5</v>
      </c>
      <c r="D72" s="2" t="s">
        <v>457</v>
      </c>
      <c r="E72" s="1" t="s">
        <v>80</v>
      </c>
      <c r="F72" s="1" t="str">
        <f>_xlfn.XLOOKUP(表格1[[#This Row],[Dish]],dish_trans!A:A,dish_trans!B:B)</f>
        <v>Sourdough French Toast</v>
      </c>
      <c r="G72" s="1" t="str">
        <f>_xlfn.XLOOKUP(表格1[[#This Row],[Dish]],dish_trans[中文菜名 (Chinese)],dish_trans[菲律賓文翻譯 (Filipino/Tagalog)])</f>
        <v>French Toast na Gawa sa Sourdough</v>
      </c>
      <c r="H72" s="1" t="str">
        <f>_xlfn.XLOOKUP(表格1[[#This Row],[Dish]],dish_trans[中文菜名 (Chinese)],dish_trans[印尼文翻譯 (Indonesian)2])</f>
        <v>French Toast Roti Sourdough</v>
      </c>
      <c r="I72" s="1" t="s">
        <v>556</v>
      </c>
      <c r="J72" s="1" t="s">
        <v>6</v>
      </c>
      <c r="K72" s="1" t="s">
        <v>6</v>
      </c>
      <c r="L72" s="1" t="s">
        <v>7</v>
      </c>
      <c r="M72" s="2" t="s">
        <v>248</v>
      </c>
      <c r="N72" s="1" t="s">
        <v>485</v>
      </c>
      <c r="O72" s="1" t="s">
        <v>544</v>
      </c>
    </row>
    <row r="73" spans="1:18" x14ac:dyDescent="0.4">
      <c r="A73" s="20" t="s">
        <v>194</v>
      </c>
      <c r="B73" s="1" t="s">
        <v>194</v>
      </c>
      <c r="C73" s="2" t="s">
        <v>5</v>
      </c>
      <c r="D73" s="1" t="s">
        <v>17</v>
      </c>
      <c r="E73" s="1" t="s">
        <v>81</v>
      </c>
      <c r="F73" s="1" t="str">
        <f>_xlfn.XLOOKUP(表格1[[#This Row],[Dish]],dish_trans!A:A,dish_trans!B:B)</f>
        <v>flautas</v>
      </c>
      <c r="G73" s="1" t="str">
        <f>_xlfn.XLOOKUP(表格1[[#This Row],[Dish]],dish_trans[中文菜名 (Chinese)],dish_trans[菲律賓文翻譯 (Filipino/Tagalog)])</f>
        <v>mga flauta</v>
      </c>
      <c r="H73" s="1" t="str">
        <f>_xlfn.XLOOKUP(表格1[[#This Row],[Dish]],dish_trans[中文菜名 (Chinese)],dish_trans[印尼文翻譯 (Indonesian)2])</f>
        <v>fluuta-fluta-flauta</v>
      </c>
      <c r="I73" s="1" t="s">
        <v>548</v>
      </c>
      <c r="J73" s="1" t="s">
        <v>6</v>
      </c>
      <c r="K73" s="1" t="s">
        <v>6</v>
      </c>
      <c r="L73" s="1" t="s">
        <v>6</v>
      </c>
      <c r="M73" s="2" t="s">
        <v>227</v>
      </c>
      <c r="N73" s="1" t="s">
        <v>534</v>
      </c>
      <c r="O73" s="1" t="s">
        <v>544</v>
      </c>
      <c r="R73" s="2" t="s">
        <v>2339</v>
      </c>
    </row>
    <row r="74" spans="1:18" x14ac:dyDescent="0.4">
      <c r="B74" s="1" t="s">
        <v>195</v>
      </c>
      <c r="C74" s="2" t="s">
        <v>5</v>
      </c>
      <c r="D74" s="2" t="s">
        <v>457</v>
      </c>
      <c r="E74" s="1" t="s">
        <v>82</v>
      </c>
      <c r="F74" s="1" t="str">
        <f>_xlfn.XLOOKUP(表格1[[#This Row],[Dish]],dish_trans!A:A,dish_trans!B:B)</f>
        <v>Herb Popcorn</v>
      </c>
      <c r="G74" s="1" t="str">
        <f>_xlfn.XLOOKUP(表格1[[#This Row],[Dish]],dish_trans[中文菜名 (Chinese)],dish_trans[菲律賓文翻譯 (Filipino/Tagalog)])</f>
        <v>Popcorn na may mga Herb</v>
      </c>
      <c r="H74" s="1" t="str">
        <f>_xlfn.XLOOKUP(表格1[[#This Row],[Dish]],dish_trans[中文菜名 (Chinese)],dish_trans[印尼文翻譯 (Indonesian)2])</f>
        <v>Popcorn Herba</v>
      </c>
      <c r="I74" s="1" t="s">
        <v>548</v>
      </c>
      <c r="J74" s="1" t="s">
        <v>7</v>
      </c>
      <c r="K74" s="1" t="s">
        <v>7</v>
      </c>
      <c r="L74" s="1" t="s">
        <v>6</v>
      </c>
      <c r="M74" s="2" t="s">
        <v>248</v>
      </c>
      <c r="N74" s="1" t="s">
        <v>536</v>
      </c>
      <c r="O74" s="1" t="s">
        <v>548</v>
      </c>
    </row>
    <row r="75" spans="1:18" x14ac:dyDescent="0.4">
      <c r="B75" s="1" t="s">
        <v>196</v>
      </c>
      <c r="C75" s="2" t="s">
        <v>5</v>
      </c>
      <c r="D75" s="1" t="s">
        <v>17</v>
      </c>
      <c r="E75" s="1" t="s">
        <v>91</v>
      </c>
      <c r="F75" s="1" t="str">
        <f>_xlfn.XLOOKUP(表格1[[#This Row],[Dish]],dish_trans!A:A,dish_trans!B:B)</f>
        <v>Egg Toast Sticks</v>
      </c>
      <c r="G75" s="1" t="str">
        <f>_xlfn.XLOOKUP(表格1[[#This Row],[Dish]],dish_trans[中文菜名 (Chinese)],dish_trans[菲律賓文翻譯 (Filipino/Tagalog)])</f>
        <v>Mga Stick ng Toast na may Itlog</v>
      </c>
      <c r="H75" s="1" t="str">
        <f>_xlfn.XLOOKUP(表格1[[#This Row],[Dish]],dish_trans[中文菜名 (Chinese)],dish_trans[印尼文翻譯 (Indonesian)2])</f>
        <v>Stik Roti Panggang Telur</v>
      </c>
      <c r="I75" s="1" t="s">
        <v>556</v>
      </c>
      <c r="J75" s="1" t="s">
        <v>7</v>
      </c>
      <c r="K75" s="1" t="s">
        <v>7</v>
      </c>
      <c r="L75" s="1" t="s">
        <v>6</v>
      </c>
      <c r="M75" s="2" t="s">
        <v>227</v>
      </c>
      <c r="N75" s="1" t="s">
        <v>536</v>
      </c>
      <c r="O75" s="1" t="s">
        <v>544</v>
      </c>
    </row>
    <row r="76" spans="1:18" x14ac:dyDescent="0.4">
      <c r="B76" s="1" t="s">
        <v>197</v>
      </c>
      <c r="C76" s="2" t="s">
        <v>5</v>
      </c>
      <c r="D76" s="2" t="s">
        <v>457</v>
      </c>
      <c r="E76" s="1" t="s">
        <v>95</v>
      </c>
      <c r="F76" s="1" t="str">
        <f>_xlfn.XLOOKUP(表格1[[#This Row],[Dish]],dish_trans!A:A,dish_trans!B:B)</f>
        <v>Italian Cucumber and Potato Pancakes with Sour Cream Sauce</v>
      </c>
      <c r="G76" s="1" t="str">
        <f>_xlfn.XLOOKUP(表格1[[#This Row],[Dish]],dish_trans[中文菜名 (Chinese)],dish_trans[菲律賓文翻譯 (Filipino/Tagalog)])</f>
        <v>Italian na Pancake na Pipino at Patatas na may Sarsang Sour Cream</v>
      </c>
      <c r="H76" s="1" t="str">
        <f>_xlfn.XLOOKUP(表格1[[#This Row],[Dish]],dish_trans[中文菜名 (Chinese)],dish_trans[印尼文翻譯 (Indonesian)2])</f>
        <v>Panekuk Mentimun dan Kentang Italia dengan Saus Krim Asam</v>
      </c>
      <c r="I76" s="1" t="s">
        <v>548</v>
      </c>
      <c r="J76" s="1" t="s">
        <v>6</v>
      </c>
      <c r="K76" s="1" t="s">
        <v>6</v>
      </c>
      <c r="L76" s="1" t="s">
        <v>7</v>
      </c>
      <c r="M76" s="2" t="s">
        <v>248</v>
      </c>
      <c r="N76" s="1" t="s">
        <v>463</v>
      </c>
      <c r="O76" s="1" t="s">
        <v>546</v>
      </c>
    </row>
    <row r="77" spans="1:18" x14ac:dyDescent="0.4">
      <c r="B77" s="1" t="s">
        <v>198</v>
      </c>
      <c r="C77" s="2" t="s">
        <v>5</v>
      </c>
      <c r="D77" s="1" t="s">
        <v>17</v>
      </c>
      <c r="E77" s="1" t="s">
        <v>96</v>
      </c>
      <c r="F77" s="1" t="str">
        <f>_xlfn.XLOOKUP(表格1[[#This Row],[Dish]],dish_trans!A:A,dish_trans!B:B)</f>
        <v>Baked Mini Pizzas</v>
      </c>
      <c r="G77" s="1" t="str">
        <f>_xlfn.XLOOKUP(表格1[[#This Row],[Dish]],dish_trans[中文菜名 (Chinese)],dish_trans[菲律賓文翻譯 (Filipino/Tagalog)])</f>
        <v>Inihurnong Mini Pizza</v>
      </c>
      <c r="H77" s="1" t="str">
        <f>_xlfn.XLOOKUP(表格1[[#This Row],[Dish]],dish_trans[中文菜名 (Chinese)],dish_trans[印尼文翻譯 (Indonesian)2])</f>
        <v>Piza Mini Panggang</v>
      </c>
      <c r="I77" s="1" t="s">
        <v>548</v>
      </c>
      <c r="J77" s="1" t="s">
        <v>6</v>
      </c>
      <c r="K77" s="1" t="s">
        <v>7</v>
      </c>
      <c r="L77" s="1" t="s">
        <v>6</v>
      </c>
      <c r="M77" s="2" t="s">
        <v>249</v>
      </c>
      <c r="N77" s="1" t="s">
        <v>534</v>
      </c>
      <c r="O77" s="1" t="s">
        <v>544</v>
      </c>
    </row>
    <row r="78" spans="1:18" x14ac:dyDescent="0.4">
      <c r="B78" s="1" t="s">
        <v>199</v>
      </c>
      <c r="C78" s="2" t="s">
        <v>5</v>
      </c>
      <c r="D78" s="2" t="s">
        <v>458</v>
      </c>
      <c r="E78" s="1" t="s">
        <v>97</v>
      </c>
      <c r="F78" s="1" t="str">
        <f>_xlfn.XLOOKUP(表格1[[#This Row],[Dish]],dish_trans!A:A,dish_trans!B:B)</f>
        <v>Baked Mixed Vegetables with Mashed Potato</v>
      </c>
      <c r="G78" s="1" t="str">
        <f>_xlfn.XLOOKUP(表格1[[#This Row],[Dish]],dish_trans[中文菜名 (Chinese)],dish_trans[菲律賓文翻譯 (Filipino/Tagalog)])</f>
        <v>Inihurnong Halo-halong Gulay na may Niligis na Patatas</v>
      </c>
      <c r="H78" s="1" t="str">
        <f>_xlfn.XLOOKUP(表格1[[#This Row],[Dish]],dish_trans[中文菜名 (Chinese)],dish_trans[印尼文翻譯 (Indonesian)2])</f>
        <v>Sayuran Campur Panggang dengan Kentang Tumbuk</v>
      </c>
      <c r="I78" s="1" t="s">
        <v>548</v>
      </c>
      <c r="J78" s="1" t="s">
        <v>6</v>
      </c>
      <c r="K78" s="1" t="s">
        <v>6</v>
      </c>
      <c r="L78" s="1" t="s">
        <v>7</v>
      </c>
      <c r="M78" s="2" t="s">
        <v>248</v>
      </c>
      <c r="N78" s="1" t="s">
        <v>463</v>
      </c>
      <c r="O78" s="1" t="s">
        <v>544</v>
      </c>
    </row>
    <row r="79" spans="1:18" x14ac:dyDescent="0.4">
      <c r="B79" s="1" t="s">
        <v>200</v>
      </c>
      <c r="C79" s="2" t="s">
        <v>5</v>
      </c>
      <c r="D79" s="2" t="s">
        <v>458</v>
      </c>
      <c r="E79" s="1" t="s">
        <v>98</v>
      </c>
      <c r="F79" s="1" t="str">
        <f>_xlfn.XLOOKUP(表格1[[#This Row],[Dish]],dish_trans!A:A,dish_trans!B:B)</f>
        <v>White Mushroom, Potato and Vegetarian Meat Pie</v>
      </c>
      <c r="G79" s="1" t="str">
        <f>_xlfn.XLOOKUP(表格1[[#This Row],[Dish]],dish_trans[中文菜名 (Chinese)],dish_trans[菲律賓文翻譯 (Filipino/Tagalog)])</f>
        <v>Pie na may Puting Kabute, Patatas at Vegetarian na Karne</v>
      </c>
      <c r="H79" s="1" t="str">
        <f>_xlfn.XLOOKUP(表格1[[#This Row],[Dish]],dish_trans[中文菜名 (Chinese)],dish_trans[印尼文翻譯 (Indonesian)2])</f>
        <v>Pai Jamur Putih, Kentang dan Daging Vegetarian</v>
      </c>
      <c r="I79" s="1" t="s">
        <v>548</v>
      </c>
      <c r="J79" s="1" t="s">
        <v>6</v>
      </c>
      <c r="K79" s="1" t="s">
        <v>6</v>
      </c>
      <c r="L79" s="1" t="s">
        <v>7</v>
      </c>
      <c r="M79" s="2" t="s">
        <v>248</v>
      </c>
      <c r="N79" s="1" t="s">
        <v>534</v>
      </c>
      <c r="O79" s="1" t="s">
        <v>544</v>
      </c>
    </row>
    <row r="80" spans="1:18" x14ac:dyDescent="0.4">
      <c r="B80" s="1" t="s">
        <v>201</v>
      </c>
      <c r="C80" s="1" t="s">
        <v>5</v>
      </c>
      <c r="D80" s="2" t="s">
        <v>110</v>
      </c>
      <c r="E80" s="1" t="s">
        <v>18</v>
      </c>
      <c r="F80" s="1" t="str">
        <f>_xlfn.XLOOKUP(表格1[[#This Row],[Dish]],dish_trans!A:A,dish_trans!B:B)</f>
        <v>Pan-fried Beef Steak</v>
      </c>
      <c r="G80" s="1" t="str">
        <f>_xlfn.XLOOKUP(表格1[[#This Row],[Dish]],dish_trans[中文菜名 (Chinese)],dish_trans[菲律賓文翻譯 (Filipino/Tagalog)])</f>
        <v>Pinritong Beef Steak</v>
      </c>
      <c r="H80" s="1" t="str">
        <f>_xlfn.XLOOKUP(表格1[[#This Row],[Dish]],dish_trans[中文菜名 (Chinese)],dish_trans[印尼文翻譯 (Indonesian)2])</f>
        <v>Steik Sapi Goreng Wajan</v>
      </c>
      <c r="I80" s="1" t="s">
        <v>548</v>
      </c>
      <c r="J80" s="1" t="s">
        <v>6</v>
      </c>
      <c r="K80" s="1" t="s">
        <v>6</v>
      </c>
      <c r="L80" s="1" t="s">
        <v>7</v>
      </c>
      <c r="M80" s="2" t="s">
        <v>250</v>
      </c>
      <c r="N80" s="1" t="s">
        <v>459</v>
      </c>
      <c r="O80" s="1" t="s">
        <v>544</v>
      </c>
    </row>
    <row r="81" spans="1:17" x14ac:dyDescent="0.4">
      <c r="A81" s="33" t="s">
        <v>202</v>
      </c>
      <c r="B81" s="1" t="s">
        <v>202</v>
      </c>
      <c r="C81" s="2" t="s">
        <v>5</v>
      </c>
      <c r="D81" s="1" t="s">
        <v>17</v>
      </c>
      <c r="E81" s="6" t="s">
        <v>100</v>
      </c>
      <c r="F81" s="1" t="str">
        <f>_xlfn.XLOOKUP(表格1[[#This Row],[Dish]],dish_trans!A:A,dish_trans!B:B)</f>
        <v>Potato Salad Omelette</v>
      </c>
      <c r="G81" s="1" t="str">
        <f>_xlfn.XLOOKUP(表格1[[#This Row],[Dish]],dish_trans[中文菜名 (Chinese)],dish_trans[菲律賓文翻譯 (Filipino/Tagalog)])</f>
        <v>Omelette na may Palamang Potato Salad</v>
      </c>
      <c r="H81" s="1" t="str">
        <f>_xlfn.XLOOKUP(表格1[[#This Row],[Dish]],dish_trans[中文菜名 (Chinese)],dish_trans[印尼文翻譯 (Indonesian)2])</f>
        <v>Omelet Isi Salad Kentang</v>
      </c>
      <c r="I81" s="1" t="s">
        <v>556</v>
      </c>
      <c r="J81" s="1" t="s">
        <v>7</v>
      </c>
      <c r="K81" s="1" t="s">
        <v>7</v>
      </c>
      <c r="L81" s="1" t="s">
        <v>6</v>
      </c>
      <c r="M81" s="2" t="s">
        <v>227</v>
      </c>
      <c r="N81" s="2" t="s">
        <v>534</v>
      </c>
      <c r="O81" s="1" t="s">
        <v>544</v>
      </c>
      <c r="Q81" s="2" t="s">
        <v>115</v>
      </c>
    </row>
    <row r="82" spans="1:17" x14ac:dyDescent="0.4">
      <c r="A82" s="33" t="s">
        <v>203</v>
      </c>
      <c r="B82" s="1" t="s">
        <v>203</v>
      </c>
      <c r="C82" s="2" t="s">
        <v>5</v>
      </c>
      <c r="D82" s="1" t="s">
        <v>16</v>
      </c>
      <c r="E82" s="1" t="s">
        <v>101</v>
      </c>
      <c r="F82" s="1" t="str">
        <f>_xlfn.XLOOKUP(表格1[[#This Row],[Dish]],dish_trans!A:A,dish_trans!B:B)</f>
        <v>Vegetarian Borscht</v>
      </c>
      <c r="G82" s="1" t="str">
        <f>_xlfn.XLOOKUP(表格1[[#This Row],[Dish]],dish_trans[中文菜名 (Chinese)],dish_trans[菲律賓文翻譯 (Filipino/Tagalog)])</f>
        <v>Vegetarian na Borscht</v>
      </c>
      <c r="H82" s="1" t="str">
        <f>_xlfn.XLOOKUP(表格1[[#This Row],[Dish]],dish_trans[中文菜名 (Chinese)],dish_trans[印尼文翻譯 (Indonesian)2])</f>
        <v>Borscht Vegetarian</v>
      </c>
      <c r="I82" s="1" t="s">
        <v>548</v>
      </c>
      <c r="J82" s="1" t="s">
        <v>6</v>
      </c>
      <c r="K82" s="1" t="s">
        <v>6</v>
      </c>
      <c r="L82" s="1" t="s">
        <v>7</v>
      </c>
      <c r="M82" s="2" t="s">
        <v>248</v>
      </c>
      <c r="N82" s="2" t="s">
        <v>460</v>
      </c>
      <c r="O82" s="1" t="s">
        <v>544</v>
      </c>
      <c r="Q82" s="2" t="s">
        <v>115</v>
      </c>
    </row>
    <row r="83" spans="1:17" x14ac:dyDescent="0.4">
      <c r="A83" s="33" t="s">
        <v>204</v>
      </c>
      <c r="B83" s="1" t="s">
        <v>204</v>
      </c>
      <c r="C83" s="2" t="s">
        <v>5</v>
      </c>
      <c r="D83" s="1" t="s">
        <v>17</v>
      </c>
      <c r="E83" s="1" t="s">
        <v>102</v>
      </c>
      <c r="F83" s="1" t="str">
        <f>_xlfn.XLOOKUP(表格1[[#This Row],[Dish]],dish_trans!A:A,dish_trans!B:B)</f>
        <v>Baked Rice with White Mushrooms and Tofu in Portuguese-style Sauce</v>
      </c>
      <c r="G83" s="1" t="str">
        <f>_xlfn.XLOOKUP(表格1[[#This Row],[Dish]],dish_trans[中文菜名 (Chinese)],dish_trans[菲律賓文翻譯 (Filipino/Tagalog)])</f>
        <v>Inihurnong Kanin na may Puting Kabute at Tokwa sa Sarsang Portuges</v>
      </c>
      <c r="H83" s="1" t="str">
        <f>_xlfn.XLOOKUP(表格1[[#This Row],[Dish]],dish_trans[中文菜名 (Chinese)],dish_trans[印尼文翻譯 (Indonesian)2])</f>
        <v>Nasi Panggang Jamur Putih dan Tahu dengan Saus ala Portugis</v>
      </c>
      <c r="I83" s="1" t="s">
        <v>548</v>
      </c>
      <c r="J83" s="1" t="s">
        <v>6</v>
      </c>
      <c r="K83" s="1" t="s">
        <v>6</v>
      </c>
      <c r="L83" s="1" t="s">
        <v>7</v>
      </c>
      <c r="M83" s="2" t="s">
        <v>247</v>
      </c>
      <c r="N83" s="2" t="s">
        <v>534</v>
      </c>
      <c r="O83" s="1" t="s">
        <v>544</v>
      </c>
      <c r="P83" s="1">
        <v>2</v>
      </c>
      <c r="Q83" s="2" t="s">
        <v>116</v>
      </c>
    </row>
    <row r="84" spans="1:17" x14ac:dyDescent="0.4">
      <c r="A84" s="33" t="s">
        <v>205</v>
      </c>
      <c r="B84" s="1" t="s">
        <v>205</v>
      </c>
      <c r="C84" s="2" t="s">
        <v>5</v>
      </c>
      <c r="D84" s="1" t="s">
        <v>17</v>
      </c>
      <c r="E84" s="1" t="s">
        <v>103</v>
      </c>
      <c r="F84" s="1" t="str">
        <f>_xlfn.XLOOKUP(表格1[[#This Row],[Dish]],dish_trans!A:A,dish_trans!B:B)</f>
        <v>Purple Sweet Potato Pudding</v>
      </c>
      <c r="G84" s="1" t="str">
        <f>_xlfn.XLOOKUP(表格1[[#This Row],[Dish]],dish_trans[中文菜名 (Chinese)],dish_trans[菲律賓文翻譯 (Filipino/Tagalog)])</f>
        <v>Puding na Kamoteng Lila</v>
      </c>
      <c r="H84" s="1" t="str">
        <f>_xlfn.XLOOKUP(表格1[[#This Row],[Dish]],dish_trans[中文菜名 (Chinese)],dish_trans[印尼文翻譯 (Indonesian)2])</f>
        <v>Puding Ubi Ungu</v>
      </c>
      <c r="I84" s="1" t="s">
        <v>548</v>
      </c>
      <c r="J84" s="1" t="s">
        <v>7</v>
      </c>
      <c r="K84" s="1" t="s">
        <v>7</v>
      </c>
      <c r="L84" s="1" t="s">
        <v>6</v>
      </c>
      <c r="M84" s="2" t="s">
        <v>249</v>
      </c>
      <c r="N84" s="2" t="s">
        <v>246</v>
      </c>
      <c r="O84" s="1" t="s">
        <v>548</v>
      </c>
      <c r="Q84" s="2" t="s">
        <v>117</v>
      </c>
    </row>
    <row r="85" spans="1:17" x14ac:dyDescent="0.4">
      <c r="B85" s="1" t="s">
        <v>206</v>
      </c>
      <c r="C85" t="s">
        <v>28</v>
      </c>
      <c r="D85" s="1" t="s">
        <v>16</v>
      </c>
      <c r="E85" s="1" t="s">
        <v>27</v>
      </c>
      <c r="F85" s="1" t="str">
        <f>_xlfn.XLOOKUP(表格1[[#This Row],[Dish]],dish_trans!A:A,dish_trans!B:B)</f>
        <v>Taro Stewed in Coconut Milk</v>
      </c>
      <c r="G85" s="1" t="str">
        <f>_xlfn.XLOOKUP(表格1[[#This Row],[Dish]],dish_trans[中文菜名 (Chinese)],dish_trans[菲律賓文翻譯 (Filipino/Tagalog)])</f>
        <v>Gabi na Nilaga sa Gata</v>
      </c>
      <c r="H85" s="1" t="str">
        <f>_xlfn.XLOOKUP(表格1[[#This Row],[Dish]],dish_trans[中文菜名 (Chinese)],dish_trans[印尼文翻譯 (Indonesian)2])</f>
        <v>Talas Rebus Santan</v>
      </c>
      <c r="I85" s="1" t="s">
        <v>548</v>
      </c>
      <c r="J85" s="1" t="s">
        <v>6</v>
      </c>
      <c r="K85" s="1" t="s">
        <v>6</v>
      </c>
      <c r="L85" s="1" t="s">
        <v>7</v>
      </c>
      <c r="M85" s="2" t="s">
        <v>248</v>
      </c>
      <c r="N85" s="1" t="s">
        <v>459</v>
      </c>
      <c r="O85" s="1" t="s">
        <v>544</v>
      </c>
    </row>
    <row r="86" spans="1:17" x14ac:dyDescent="0.4">
      <c r="B86" s="1" t="s">
        <v>207</v>
      </c>
      <c r="C86" t="s">
        <v>28</v>
      </c>
      <c r="D86" s="1" t="s">
        <v>16</v>
      </c>
      <c r="E86" s="1" t="s">
        <v>33</v>
      </c>
      <c r="F86" s="1" t="str">
        <f>_xlfn.XLOOKUP(表格1[[#This Row],[Dish]],dish_trans!A:A,dish_trans!B:B)</f>
        <v>Potato White Curry</v>
      </c>
      <c r="G86" s="1" t="str">
        <f>_xlfn.XLOOKUP(表格1[[#This Row],[Dish]],dish_trans[中文菜名 (Chinese)],dish_trans[菲律賓文翻譯 (Filipino/Tagalog)])</f>
        <v>Puting Curry na Patatas</v>
      </c>
      <c r="H86" s="1" t="str">
        <f>_xlfn.XLOOKUP(表格1[[#This Row],[Dish]],dish_trans[中文菜名 (Chinese)],dish_trans[印尼文翻譯 (Indonesian)2])</f>
        <v>Kari Putih Kentang</v>
      </c>
      <c r="I86" s="1" t="s">
        <v>548</v>
      </c>
      <c r="J86" s="1" t="s">
        <v>6</v>
      </c>
      <c r="K86" s="1" t="s">
        <v>6</v>
      </c>
      <c r="L86" s="1" t="s">
        <v>7</v>
      </c>
      <c r="M86" s="2" t="s">
        <v>248</v>
      </c>
      <c r="N86" s="1" t="s">
        <v>459</v>
      </c>
      <c r="O86" s="1" t="s">
        <v>544</v>
      </c>
    </row>
    <row r="87" spans="1:17" x14ac:dyDescent="0.4">
      <c r="B87" s="1" t="s">
        <v>208</v>
      </c>
      <c r="C87" t="s">
        <v>28</v>
      </c>
      <c r="D87" s="1" t="s">
        <v>16</v>
      </c>
      <c r="E87" s="1" t="s">
        <v>35</v>
      </c>
      <c r="F87" s="1" t="str">
        <f>_xlfn.XLOOKUP(表格1[[#This Row],[Dish]],dish_trans!A:A,dish_trans!B:B)</f>
        <v>Mashed Bean Curry</v>
      </c>
      <c r="G87" s="1" t="str">
        <f>_xlfn.XLOOKUP(表格1[[#This Row],[Dish]],dish_trans[中文菜名 (Chinese)],dish_trans[菲律賓文翻譯 (Filipino/Tagalog)])</f>
        <v>Curry ng Niligis na Beans</v>
      </c>
      <c r="H87" s="1" t="str">
        <f>_xlfn.XLOOKUP(表格1[[#This Row],[Dish]],dish_trans[中文菜名 (Chinese)],dish_trans[印尼文翻譯 (Indonesian)2])</f>
        <v>Kari Kacang Tumbuk</v>
      </c>
      <c r="I87" s="1" t="s">
        <v>548</v>
      </c>
      <c r="J87" s="1" t="s">
        <v>6</v>
      </c>
      <c r="K87" s="1" t="s">
        <v>6</v>
      </c>
      <c r="L87" s="1" t="s">
        <v>7</v>
      </c>
      <c r="M87" s="2" t="s">
        <v>247</v>
      </c>
      <c r="N87" s="1" t="s">
        <v>459</v>
      </c>
      <c r="O87" s="1" t="s">
        <v>544</v>
      </c>
    </row>
    <row r="88" spans="1:17" x14ac:dyDescent="0.4">
      <c r="B88" s="1" t="s">
        <v>209</v>
      </c>
      <c r="C88" s="1" t="s">
        <v>12</v>
      </c>
      <c r="D88" s="2" t="s">
        <v>110</v>
      </c>
      <c r="E88" s="1" t="s">
        <v>19</v>
      </c>
      <c r="F88" s="1" t="str">
        <f>_xlfn.XLOOKUP(表格1[[#This Row],[Dish]],dish_trans!A:A,dish_trans!B:B)</f>
        <v>Thai Holy Basil Pork</v>
      </c>
      <c r="G88" s="1" t="str">
        <f>_xlfn.XLOOKUP(表格1[[#This Row],[Dish]],dish_trans[中文菜名 (Chinese)],dish_trans[菲律賓文翻譯 (Filipino/Tagalog)])</f>
        <v>Baboy na may Balanoy na Thai</v>
      </c>
      <c r="H88" s="1" t="str">
        <f>_xlfn.XLOOKUP(表格1[[#This Row],[Dish]],dish_trans[中文菜名 (Chinese)],dish_trans[印尼文翻譯 (Indonesian)2])</f>
        <v>Babi Tumis Kemangi Suci Thailand</v>
      </c>
      <c r="I88" s="1" t="s">
        <v>548</v>
      </c>
      <c r="J88" s="1" t="s">
        <v>6</v>
      </c>
      <c r="K88" s="1" t="s">
        <v>6</v>
      </c>
      <c r="L88" s="1" t="s">
        <v>7</v>
      </c>
      <c r="M88" s="2" t="s">
        <v>226</v>
      </c>
      <c r="N88" s="1" t="s">
        <v>459</v>
      </c>
      <c r="O88" s="1" t="s">
        <v>542</v>
      </c>
    </row>
    <row r="89" spans="1:17" x14ac:dyDescent="0.4">
      <c r="B89" s="1" t="s">
        <v>210</v>
      </c>
      <c r="C89" s="2" t="s">
        <v>12</v>
      </c>
      <c r="D89" s="2" t="s">
        <v>110</v>
      </c>
      <c r="E89" s="1" t="s">
        <v>47</v>
      </c>
      <c r="F89" s="1" t="str">
        <f>_xlfn.XLOOKUP(表格1[[#This Row],[Dish]],dish_trans!A:A,dish_trans!B:B)</f>
        <v>Thai Fish Cakes</v>
      </c>
      <c r="G89" s="1" t="str">
        <f>_xlfn.XLOOKUP(表格1[[#This Row],[Dish]],dish_trans[中文菜名 (Chinese)],dish_trans[菲律賓文翻譯 (Filipino/Tagalog)])</f>
        <v>Thai na Fish Cake</v>
      </c>
      <c r="H89" s="1" t="str">
        <f>_xlfn.XLOOKUP(表格1[[#This Row],[Dish]],dish_trans[中文菜名 (Chinese)],dish_trans[印尼文翻譯 (Indonesian)2])</f>
        <v>Perkedel Ikan ala Thailand</v>
      </c>
      <c r="I89" s="1" t="s">
        <v>548</v>
      </c>
      <c r="J89" s="1" t="s">
        <v>6</v>
      </c>
      <c r="K89" s="1" t="s">
        <v>6</v>
      </c>
      <c r="L89" s="1" t="s">
        <v>7</v>
      </c>
      <c r="M89" s="2" t="s">
        <v>228</v>
      </c>
      <c r="N89" s="1" t="s">
        <v>463</v>
      </c>
      <c r="O89" s="1" t="s">
        <v>542</v>
      </c>
      <c r="P89" s="1">
        <v>2</v>
      </c>
    </row>
    <row r="90" spans="1:17" x14ac:dyDescent="0.4">
      <c r="B90" s="1" t="s">
        <v>211</v>
      </c>
      <c r="C90" s="2" t="s">
        <v>12</v>
      </c>
      <c r="D90" s="2" t="s">
        <v>110</v>
      </c>
      <c r="E90" s="1" t="s">
        <v>59</v>
      </c>
      <c r="F90" s="1" t="str">
        <f>_xlfn.XLOOKUP(表格1[[#This Row],[Dish]],dish_trans!A:A,dish_trans!B:B)</f>
        <v>Thai-style Pork Neck</v>
      </c>
      <c r="G90" s="1" t="str">
        <f>_xlfn.XLOOKUP(表格1[[#This Row],[Dish]],dish_trans[中文菜名 (Chinese)],dish_trans[菲律賓文翻譯 (Filipino/Tagalog)])</f>
        <v>Leeg ng Baboy na Estilong Thai</v>
      </c>
      <c r="H90" s="1" t="str">
        <f>_xlfn.XLOOKUP(表格1[[#This Row],[Dish]],dish_trans[中文菜名 (Chinese)],dish_trans[印尼文翻譯 (Indonesian)2])</f>
        <v>Daging Leher Babi ala Thailand</v>
      </c>
      <c r="I90" s="1" t="s">
        <v>548</v>
      </c>
      <c r="J90" s="1" t="s">
        <v>6</v>
      </c>
      <c r="K90" s="1" t="s">
        <v>6</v>
      </c>
      <c r="L90" s="1" t="s">
        <v>7</v>
      </c>
      <c r="M90" s="2" t="s">
        <v>226</v>
      </c>
      <c r="N90" s="1" t="s">
        <v>459</v>
      </c>
      <c r="O90" s="1" t="s">
        <v>542</v>
      </c>
    </row>
    <row r="91" spans="1:17" x14ac:dyDescent="0.4">
      <c r="B91" s="1" t="s">
        <v>212</v>
      </c>
      <c r="C91" s="2" t="s">
        <v>12</v>
      </c>
      <c r="D91" s="2" t="s">
        <v>110</v>
      </c>
      <c r="E91" s="1" t="s">
        <v>63</v>
      </c>
      <c r="F91" s="1" t="str">
        <f>_xlfn.XLOOKUP(表格1[[#This Row],[Dish]],dish_trans!A:A,dish_trans!B:B)</f>
        <v>Clear Tom Yum Shrimp Soup</v>
      </c>
      <c r="G91" s="1" t="str">
        <f>_xlfn.XLOOKUP(表格1[[#This Row],[Dish]],dish_trans[中文菜名 (Chinese)],dish_trans[菲律賓文翻譯 (Filipino/Tagalog)])</f>
        <v>Malinaw na Sabaw na Tom Yum na Hipon</v>
      </c>
      <c r="H91" s="1" t="str">
        <f>_xlfn.XLOOKUP(表格1[[#This Row],[Dish]],dish_trans[中文菜名 (Chinese)],dish_trans[印尼文翻譯 (Indonesian)2])</f>
        <v>Sup Tom Yum Udang Kuah Bening</v>
      </c>
      <c r="I91" s="1" t="s">
        <v>548</v>
      </c>
      <c r="J91" s="1" t="s">
        <v>7</v>
      </c>
      <c r="K91" s="1" t="s">
        <v>6</v>
      </c>
      <c r="L91" s="1" t="s">
        <v>7</v>
      </c>
      <c r="M91" s="2" t="s">
        <v>228</v>
      </c>
      <c r="N91" s="2" t="s">
        <v>460</v>
      </c>
      <c r="O91" s="1" t="s">
        <v>542</v>
      </c>
    </row>
    <row r="92" spans="1:17" x14ac:dyDescent="0.4">
      <c r="A92" s="33" t="s">
        <v>213</v>
      </c>
      <c r="B92" s="1" t="s">
        <v>213</v>
      </c>
      <c r="C92" s="2" t="s">
        <v>12</v>
      </c>
      <c r="D92" s="1" t="s">
        <v>17</v>
      </c>
      <c r="E92" s="1" t="s">
        <v>104</v>
      </c>
      <c r="F92" s="1" t="str">
        <f>_xlfn.XLOOKUP(表格1[[#This Row],[Dish]],dish_trans!A:A,dish_trans!B:B)</f>
        <v>Young Coconut and Papaya Jelly</v>
      </c>
      <c r="G92" s="1" t="str">
        <f>_xlfn.XLOOKUP(表格1[[#This Row],[Dish]],dish_trans[中文菜名 (Chinese)],dish_trans[菲律賓文翻譯 (Filipino/Tagalog)])</f>
        <v>Gulaman na Buko at Papaya</v>
      </c>
      <c r="H92" s="1" t="str">
        <f>_xlfn.XLOOKUP(表格1[[#This Row],[Dish]],dish_trans[中文菜名 (Chinese)],dish_trans[印尼文翻譯 (Indonesian)2])</f>
        <v>Jeli Kelapa Muda dan Pepaya</v>
      </c>
      <c r="I92" s="1" t="s">
        <v>548</v>
      </c>
      <c r="J92" s="1" t="s">
        <v>7</v>
      </c>
      <c r="K92" s="1" t="s">
        <v>7</v>
      </c>
      <c r="L92" s="1" t="s">
        <v>6</v>
      </c>
      <c r="M92" s="2" t="s">
        <v>248</v>
      </c>
      <c r="N92" s="2" t="s">
        <v>246</v>
      </c>
      <c r="O92" s="1" t="s">
        <v>548</v>
      </c>
      <c r="Q92" s="2" t="s">
        <v>117</v>
      </c>
    </row>
    <row r="93" spans="1:17" x14ac:dyDescent="0.4">
      <c r="B93" s="1" t="s">
        <v>214</v>
      </c>
      <c r="C93" s="2" t="s">
        <v>108</v>
      </c>
      <c r="D93" s="1" t="s">
        <v>17</v>
      </c>
      <c r="E93" s="1" t="s">
        <v>64</v>
      </c>
      <c r="F93" s="1" t="str">
        <f>_xlfn.XLOOKUP(表格1[[#This Row],[Dish]],dish_trans!A:A,dish_trans!B:B)</f>
        <v>Rice Paper Egg Pancake</v>
      </c>
      <c r="G93" s="1" t="str">
        <f>_xlfn.XLOOKUP(表格1[[#This Row],[Dish]],dish_trans[中文菜名 (Chinese)],dish_trans[菲律賓文翻譯 (Filipino/Tagalog)])</f>
        <v>Pancake na Itlog sa Rice Paper</v>
      </c>
      <c r="H93" s="1" t="str">
        <f>_xlfn.XLOOKUP(表格1[[#This Row],[Dish]],dish_trans[中文菜名 (Chinese)],dish_trans[印尼文翻譯 (Indonesian)2])</f>
        <v>Dadar Telur Kulit Kertas Beras</v>
      </c>
      <c r="I93" s="1" t="s">
        <v>559</v>
      </c>
      <c r="J93" s="1" t="s">
        <v>6</v>
      </c>
      <c r="K93" s="1" t="s">
        <v>7</v>
      </c>
      <c r="L93" s="1" t="s">
        <v>6</v>
      </c>
      <c r="M93" s="2" t="s">
        <v>227</v>
      </c>
      <c r="N93" s="1" t="s">
        <v>534</v>
      </c>
      <c r="O93" s="1" t="s">
        <v>546</v>
      </c>
    </row>
    <row r="94" spans="1:17" x14ac:dyDescent="0.4">
      <c r="B94" s="1" t="s">
        <v>215</v>
      </c>
      <c r="C94" s="2" t="s">
        <v>108</v>
      </c>
      <c r="D94" s="2" t="s">
        <v>457</v>
      </c>
      <c r="E94" s="1" t="s">
        <v>94</v>
      </c>
      <c r="F94" s="1" t="str">
        <f>_xlfn.XLOOKUP(表格1[[#This Row],[Dish]],dish_trans!A:A,dish_trans!B:B)</f>
        <v>Vietnamese Rice Paper Rolls</v>
      </c>
      <c r="G94" s="1" t="str">
        <f>_xlfn.XLOOKUP(表格1[[#This Row],[Dish]],dish_trans[中文菜名 (Chinese)],dish_trans[菲律賓文翻譯 (Filipino/Tagalog)])</f>
        <v>Vietnamese na Rolyo sa Rice Paper</v>
      </c>
      <c r="H94" s="1" t="str">
        <f>_xlfn.XLOOKUP(表格1[[#This Row],[Dish]],dish_trans[中文菜名 (Chinese)],dish_trans[印尼文翻譯 (Indonesian)2])</f>
        <v>Lumpia Kertas Beras Vietnam</v>
      </c>
      <c r="I94" s="1" t="s">
        <v>548</v>
      </c>
      <c r="J94" s="1" t="s">
        <v>6</v>
      </c>
      <c r="K94" s="1" t="s">
        <v>7</v>
      </c>
      <c r="L94" s="1" t="s">
        <v>6</v>
      </c>
      <c r="M94" s="2" t="s">
        <v>248</v>
      </c>
      <c r="N94" s="1" t="s">
        <v>534</v>
      </c>
      <c r="O94" s="1" t="s">
        <v>546</v>
      </c>
    </row>
    <row r="95" spans="1:17" x14ac:dyDescent="0.4">
      <c r="B95" s="1" t="s">
        <v>216</v>
      </c>
      <c r="C95" s="2" t="s">
        <v>34</v>
      </c>
      <c r="D95" s="2" t="s">
        <v>110</v>
      </c>
      <c r="E95" s="1" t="s">
        <v>31</v>
      </c>
      <c r="F95" s="1" t="str">
        <f>_xlfn.XLOOKUP(表格1[[#This Row],[Dish]],dish_trans!A:A,dish_trans!B:B)</f>
        <v>Korean Rice Rolls</v>
      </c>
      <c r="G95" s="1" t="str">
        <f>_xlfn.XLOOKUP(表格1[[#This Row],[Dish]],dish_trans[中文菜名 (Chinese)],dish_trans[菲律賓文翻譯 (Filipino/Tagalog)])</f>
        <v>Korean na Rolyo ng Kanin</v>
      </c>
      <c r="H95" s="1" t="str">
        <f>_xlfn.XLOOKUP(表格1[[#This Row],[Dish]],dish_trans[中文菜名 (Chinese)],dish_trans[印尼文翻譯 (Indonesian)2])</f>
        <v>Gulungan Nasi Korea</v>
      </c>
      <c r="I95" s="1" t="s">
        <v>548</v>
      </c>
      <c r="J95" s="1" t="s">
        <v>6</v>
      </c>
      <c r="K95" s="1" t="s">
        <v>6</v>
      </c>
      <c r="L95" s="1" t="s">
        <v>6</v>
      </c>
      <c r="M95" s="2" t="s">
        <v>229</v>
      </c>
      <c r="N95" s="1" t="s">
        <v>534</v>
      </c>
      <c r="O95" s="1" t="s">
        <v>544</v>
      </c>
    </row>
    <row r="96" spans="1:17" x14ac:dyDescent="0.4">
      <c r="B96" s="1" t="s">
        <v>217</v>
      </c>
      <c r="C96" s="2" t="s">
        <v>34</v>
      </c>
      <c r="D96" s="2" t="s">
        <v>457</v>
      </c>
      <c r="E96" s="1" t="s">
        <v>89</v>
      </c>
      <c r="F96" s="1" t="str">
        <f>_xlfn.XLOOKUP(表格1[[#This Row],[Dish]],dish_trans!A:A,dish_trans!B:B)</f>
        <v>Korean Stir-fried Glass Noodles</v>
      </c>
      <c r="G96" s="1" t="str">
        <f>_xlfn.XLOOKUP(表格1[[#This Row],[Dish]],dish_trans[中文菜名 (Chinese)],dish_trans[菲律賓文翻譯 (Filipino/Tagalog)])</f>
        <v>Korean na Ginisang Sotanghon</v>
      </c>
      <c r="H96" s="1" t="str">
        <f>_xlfn.XLOOKUP(表格1[[#This Row],[Dish]],dish_trans[中文菜名 (Chinese)],dish_trans[印尼文翻譯 (Indonesian)2])</f>
        <v>Soun Tumis ala Korea</v>
      </c>
      <c r="I96" s="1" t="s">
        <v>548</v>
      </c>
      <c r="J96" s="1" t="s">
        <v>6</v>
      </c>
      <c r="K96" s="1" t="s">
        <v>6</v>
      </c>
      <c r="L96" s="1" t="s">
        <v>7</v>
      </c>
      <c r="M96" s="2" t="s">
        <v>248</v>
      </c>
      <c r="N96" s="1" t="s">
        <v>534</v>
      </c>
      <c r="O96" s="1" t="s">
        <v>544</v>
      </c>
    </row>
    <row r="97" spans="2:15" x14ac:dyDescent="0.4">
      <c r="B97" s="1" t="s">
        <v>218</v>
      </c>
      <c r="C97" s="2" t="s">
        <v>34</v>
      </c>
      <c r="D97" s="2" t="s">
        <v>457</v>
      </c>
      <c r="E97" s="1" t="s">
        <v>90</v>
      </c>
      <c r="F97" s="1" t="str">
        <f>_xlfn.XLOOKUP(表格1[[#This Row],[Dish]],dish_trans!A:A,dish_trans!B:B)</f>
        <v>Korean Mixed Vegetable Rice</v>
      </c>
      <c r="G97" s="1" t="str">
        <f>_xlfn.XLOOKUP(表格1[[#This Row],[Dish]],dish_trans[中文菜名 (Chinese)],dish_trans[菲律賓文翻譯 (Filipino/Tagalog)])</f>
        <v>Korean na Kanin na Hinaluan ng Gulay</v>
      </c>
      <c r="H97" s="1" t="str">
        <f>_xlfn.XLOOKUP(表格1[[#This Row],[Dish]],dish_trans[中文菜名 (Chinese)],dish_trans[印尼文翻譯 (Indonesian)2])</f>
        <v>Nasi Campur Sayuran ala Korea</v>
      </c>
      <c r="I97" s="1" t="s">
        <v>548</v>
      </c>
      <c r="J97" s="1" t="s">
        <v>6</v>
      </c>
      <c r="K97" s="1" t="s">
        <v>6</v>
      </c>
      <c r="L97" s="1" t="s">
        <v>7</v>
      </c>
      <c r="M97" s="2" t="s">
        <v>248</v>
      </c>
      <c r="N97" s="1" t="s">
        <v>534</v>
      </c>
      <c r="O97" s="1" t="s">
        <v>544</v>
      </c>
    </row>
    <row r="98" spans="2:15" x14ac:dyDescent="0.4">
      <c r="B98" s="1" t="s">
        <v>516</v>
      </c>
      <c r="C98" s="2" t="s">
        <v>26</v>
      </c>
      <c r="D98" s="2" t="s">
        <v>110</v>
      </c>
      <c r="E98" s="2" t="s">
        <v>468</v>
      </c>
      <c r="F98" s="1" t="str">
        <f>_xlfn.XLOOKUP(表格1[[#This Row],[Dish]],dish_trans!A:A,dish_trans!B:B)</f>
        <v>Pan-fried Fish</v>
      </c>
      <c r="G98" s="1" t="str">
        <f>_xlfn.XLOOKUP(表格1[[#This Row],[Dish]],dish_trans[中文菜名 (Chinese)],dish_trans[菲律賓文翻譯 (Filipino/Tagalog)])</f>
        <v>Pinritong Isda</v>
      </c>
      <c r="H98" s="1" t="str">
        <f>_xlfn.XLOOKUP(表格1[[#This Row],[Dish]],dish_trans[中文菜名 (Chinese)],dish_trans[印尼文翻譯 (Indonesian)2])</f>
        <v>Ikan Goreng Wajan</v>
      </c>
      <c r="I98" s="1" t="s">
        <v>559</v>
      </c>
      <c r="J98" s="1" t="s">
        <v>6</v>
      </c>
      <c r="K98" s="1" t="s">
        <v>6</v>
      </c>
      <c r="L98" s="1" t="s">
        <v>7</v>
      </c>
      <c r="M98" s="2" t="s">
        <v>228</v>
      </c>
      <c r="N98" s="1" t="s">
        <v>459</v>
      </c>
      <c r="O98" s="1" t="s">
        <v>546</v>
      </c>
    </row>
    <row r="99" spans="2:15" x14ac:dyDescent="0.4">
      <c r="B99" s="1" t="s">
        <v>465</v>
      </c>
      <c r="C99" s="2" t="s">
        <v>5</v>
      </c>
      <c r="D99" s="2" t="s">
        <v>457</v>
      </c>
      <c r="E99" s="2" t="s">
        <v>470</v>
      </c>
      <c r="F99" s="1" t="str">
        <f>_xlfn.XLOOKUP(表格1[[#This Row],[Dish]],dish_trans!A:A,dish_trans!B:B)</f>
        <v>Boiled Corn</v>
      </c>
      <c r="G99" s="1" t="str">
        <f>_xlfn.XLOOKUP(表格1[[#This Row],[Dish]],dish_trans[中文菜名 (Chinese)],dish_trans[菲律賓文翻譯 (Filipino/Tagalog)])</f>
        <v>Nilagang Mais</v>
      </c>
      <c r="H99" s="1" t="str">
        <f>_xlfn.XLOOKUP(表格1[[#This Row],[Dish]],dish_trans[中文菜名 (Chinese)],dish_trans[印尼文翻譯 (Indonesian)2])</f>
        <v>Jagung Rebus</v>
      </c>
      <c r="I99" s="1" t="s">
        <v>556</v>
      </c>
      <c r="J99" s="1" t="s">
        <v>7</v>
      </c>
      <c r="K99" s="1" t="s">
        <v>7</v>
      </c>
      <c r="L99" s="1" t="s">
        <v>7</v>
      </c>
      <c r="M99" s="1" t="s">
        <v>471</v>
      </c>
      <c r="N99" s="1" t="s">
        <v>463</v>
      </c>
      <c r="O99" s="1" t="s">
        <v>546</v>
      </c>
    </row>
    <row r="100" spans="2:15" x14ac:dyDescent="0.4">
      <c r="B100" s="1" t="s">
        <v>466</v>
      </c>
      <c r="C100" s="2" t="s">
        <v>5</v>
      </c>
      <c r="D100" s="1" t="s">
        <v>17</v>
      </c>
      <c r="E100" s="2" t="s">
        <v>472</v>
      </c>
      <c r="F100" s="1" t="str">
        <f>_xlfn.XLOOKUP(表格1[[#This Row],[Dish]],dish_trans!A:A,dish_trans!B:B)</f>
        <v>Boiled Eggs</v>
      </c>
      <c r="G100" s="1" t="str">
        <f>_xlfn.XLOOKUP(表格1[[#This Row],[Dish]],dish_trans[中文菜名 (Chinese)],dish_trans[菲律賓文翻譯 (Filipino/Tagalog)])</f>
        <v>Nilagang Itlog</v>
      </c>
      <c r="H100" s="1" t="str">
        <f>_xlfn.XLOOKUP(表格1[[#This Row],[Dish]],dish_trans[中文菜名 (Chinese)],dish_trans[印尼文翻譯 (Indonesian)2])</f>
        <v>Telur Rebus</v>
      </c>
      <c r="I100" s="1" t="s">
        <v>559</v>
      </c>
      <c r="J100" s="1" t="s">
        <v>7</v>
      </c>
      <c r="K100" s="1" t="s">
        <v>7</v>
      </c>
      <c r="L100" s="1" t="s">
        <v>6</v>
      </c>
      <c r="M100" s="1" t="s">
        <v>473</v>
      </c>
      <c r="N100" s="1" t="s">
        <v>459</v>
      </c>
      <c r="O100" s="1" t="s">
        <v>546</v>
      </c>
    </row>
    <row r="101" spans="2:15" x14ac:dyDescent="0.4">
      <c r="B101" s="1" t="s">
        <v>467</v>
      </c>
      <c r="C101" s="2" t="s">
        <v>475</v>
      </c>
      <c r="D101" s="2" t="s">
        <v>110</v>
      </c>
      <c r="E101" s="2" t="s">
        <v>474</v>
      </c>
      <c r="F101" s="1" t="str">
        <f>_xlfn.XLOOKUP(表格1[[#This Row],[Dish]],dish_trans!A:A,dish_trans!B:B)</f>
        <v>Minced Pork Congee</v>
      </c>
      <c r="G101" s="1" t="str">
        <f>_xlfn.XLOOKUP(表格1[[#This Row],[Dish]],dish_trans[中文菜名 (Chinese)],dish_trans[菲律賓文翻譯 (Filipino/Tagalog)])</f>
        <v>Lugaw na may Giniling na Baboy</v>
      </c>
      <c r="H101" s="1" t="str">
        <f>_xlfn.XLOOKUP(表格1[[#This Row],[Dish]],dish_trans[中文菜名 (Chinese)],dish_trans[印尼文翻譯 (Indonesian)2])</f>
        <v>Bubur Babi Cincang</v>
      </c>
      <c r="I101" s="1" t="s">
        <v>557</v>
      </c>
      <c r="J101" s="1" t="s">
        <v>6</v>
      </c>
      <c r="K101" s="1" t="s">
        <v>7</v>
      </c>
      <c r="L101" s="1" t="s">
        <v>6</v>
      </c>
      <c r="M101" s="1" t="s">
        <v>461</v>
      </c>
      <c r="N101" s="1" t="s">
        <v>485</v>
      </c>
      <c r="O101" s="1" t="s">
        <v>544</v>
      </c>
    </row>
    <row r="102" spans="2:15" x14ac:dyDescent="0.4">
      <c r="B102" s="1" t="s">
        <v>464</v>
      </c>
      <c r="C102" s="2" t="s">
        <v>26</v>
      </c>
      <c r="D102" s="2" t="s">
        <v>110</v>
      </c>
      <c r="E102" s="1" t="s">
        <v>476</v>
      </c>
      <c r="F102" s="1" t="str">
        <f>_xlfn.XLOOKUP(表格1[[#This Row],[Dish]],dish_trans!A:A,dish_trans!B:B)</f>
        <v>Japanese Rice Balls</v>
      </c>
      <c r="G102" s="1" t="str">
        <f>_xlfn.XLOOKUP(表格1[[#This Row],[Dish]],dish_trans[中文菜名 (Chinese)],dish_trans[菲律賓文翻譯 (Filipino/Tagalog)])</f>
        <v>Japanese na Bola-bolang Kanin</v>
      </c>
      <c r="H102" s="1" t="str">
        <f>_xlfn.XLOOKUP(表格1[[#This Row],[Dish]],dish_trans[中文菜名 (Chinese)],dish_trans[印尼文翻譯 (Indonesian)2])</f>
        <v>Bola Nasi Jepang</v>
      </c>
      <c r="I102" s="1" t="s">
        <v>556</v>
      </c>
      <c r="J102" s="1" t="s">
        <v>6</v>
      </c>
      <c r="K102" s="1" t="s">
        <v>7</v>
      </c>
      <c r="L102" s="1" t="s">
        <v>6</v>
      </c>
      <c r="M102" s="1" t="s">
        <v>469</v>
      </c>
      <c r="N102" s="1" t="s">
        <v>485</v>
      </c>
      <c r="O102" s="1" t="s">
        <v>544</v>
      </c>
    </row>
    <row r="103" spans="2:15" x14ac:dyDescent="0.4">
      <c r="B103" s="1" t="s">
        <v>478</v>
      </c>
      <c r="C103" s="2" t="s">
        <v>5</v>
      </c>
      <c r="D103" s="2" t="s">
        <v>457</v>
      </c>
      <c r="E103" s="1" t="s">
        <v>477</v>
      </c>
      <c r="F103" s="1" t="str">
        <f>_xlfn.XLOOKUP(表格1[[#This Row],[Dish]],dish_trans!A:A,dish_trans!B:B)</f>
        <v>Oatmeal</v>
      </c>
      <c r="G103" s="1" t="str">
        <f>_xlfn.XLOOKUP(表格1[[#This Row],[Dish]],dish_trans[中文菜名 (Chinese)],dish_trans[菲律賓文翻譯 (Filipino/Tagalog)])</f>
        <v>Lugaw na Oats</v>
      </c>
      <c r="H103" s="1" t="str">
        <f>_xlfn.XLOOKUP(表格1[[#This Row],[Dish]],dish_trans[中文菜名 (Chinese)],dish_trans[印尼文翻譯 (Indonesian)2])</f>
        <v>Bubur Oat</v>
      </c>
      <c r="I103" s="1" t="s">
        <v>557</v>
      </c>
      <c r="J103" s="1" t="s">
        <v>7</v>
      </c>
      <c r="K103" s="1" t="s">
        <v>7</v>
      </c>
      <c r="L103" s="1" t="s">
        <v>7</v>
      </c>
      <c r="M103" s="1" t="s">
        <v>471</v>
      </c>
      <c r="N103" s="1" t="s">
        <v>463</v>
      </c>
      <c r="O103" s="1" t="s">
        <v>546</v>
      </c>
    </row>
    <row r="104" spans="2:15" x14ac:dyDescent="0.4">
      <c r="B104" s="1" t="s">
        <v>480</v>
      </c>
      <c r="C104" s="2" t="s">
        <v>475</v>
      </c>
      <c r="D104" s="2" t="s">
        <v>457</v>
      </c>
      <c r="E104" s="1" t="s">
        <v>479</v>
      </c>
      <c r="F104" s="1" t="str">
        <f>_xlfn.XLOOKUP(表格1[[#This Row],[Dish]],dish_trans!A:A,dish_trans!B:B)</f>
        <v>Boiled Sweet Potato</v>
      </c>
      <c r="G104" s="1" t="str">
        <f>_xlfn.XLOOKUP(表格1[[#This Row],[Dish]],dish_trans[中文菜名 (Chinese)],dish_trans[菲律賓文翻譯 (Filipino/Tagalog)])</f>
        <v>Nilagang Kamote</v>
      </c>
      <c r="H104" s="1" t="str">
        <f>_xlfn.XLOOKUP(表格1[[#This Row],[Dish]],dish_trans[中文菜名 (Chinese)],dish_trans[印尼文翻譯 (Indonesian)2])</f>
        <v>Ubi Jalar Rebus</v>
      </c>
      <c r="I104" s="1" t="s">
        <v>556</v>
      </c>
      <c r="J104" s="1" t="s">
        <v>7</v>
      </c>
      <c r="K104" s="1" t="s">
        <v>7</v>
      </c>
      <c r="L104" s="1" t="s">
        <v>6</v>
      </c>
      <c r="M104" s="1" t="s">
        <v>471</v>
      </c>
      <c r="N104" s="1" t="s">
        <v>463</v>
      </c>
      <c r="O104" s="1" t="s">
        <v>546</v>
      </c>
    </row>
    <row r="105" spans="2:15" x14ac:dyDescent="0.4">
      <c r="B105" s="1" t="s">
        <v>487</v>
      </c>
      <c r="C105" s="2" t="s">
        <v>5</v>
      </c>
      <c r="D105" s="1" t="s">
        <v>17</v>
      </c>
      <c r="E105" s="1" t="s">
        <v>481</v>
      </c>
      <c r="F105" s="1" t="str">
        <f>_xlfn.XLOOKUP(表格1[[#This Row],[Dish]],dish_trans!A:A,dish_trans!B:B)</f>
        <v>Fried Eggs</v>
      </c>
      <c r="G105" s="1" t="str">
        <f>_xlfn.XLOOKUP(表格1[[#This Row],[Dish]],dish_trans[中文菜名 (Chinese)],dish_trans[菲律賓文翻譯 (Filipino/Tagalog)])</f>
        <v>Pritong Itlog</v>
      </c>
      <c r="H105" s="1" t="str">
        <f>_xlfn.XLOOKUP(表格1[[#This Row],[Dish]],dish_trans[中文菜名 (Chinese)],dish_trans[印尼文翻譯 (Indonesian)2])</f>
        <v>Telur Goreng</v>
      </c>
      <c r="I105" s="1" t="s">
        <v>559</v>
      </c>
      <c r="J105" s="1" t="s">
        <v>7</v>
      </c>
      <c r="K105" s="1" t="s">
        <v>7</v>
      </c>
      <c r="L105" s="1" t="s">
        <v>6</v>
      </c>
      <c r="M105" s="1" t="s">
        <v>473</v>
      </c>
      <c r="N105" s="1" t="s">
        <v>459</v>
      </c>
      <c r="O105" s="1" t="s">
        <v>544</v>
      </c>
    </row>
    <row r="106" spans="2:15" x14ac:dyDescent="0.4">
      <c r="B106" s="1" t="s">
        <v>488</v>
      </c>
      <c r="C106" s="2" t="s">
        <v>5</v>
      </c>
      <c r="D106" s="2" t="s">
        <v>457</v>
      </c>
      <c r="E106" s="6" t="s">
        <v>568</v>
      </c>
      <c r="F106" s="1" t="str">
        <f>_xlfn.XLOOKUP(表格1[[#This Row],[Dish]],dish_trans!A:A,dish_trans!B:B)</f>
        <v>Banana</v>
      </c>
      <c r="G106" s="1" t="str">
        <f>_xlfn.XLOOKUP(表格1[[#This Row],[Dish]],dish_trans[中文菜名 (Chinese)],dish_trans[菲律賓文翻譯 (Filipino/Tagalog)])</f>
        <v>Saging</v>
      </c>
      <c r="H106" s="1" t="str">
        <f>_xlfn.XLOOKUP(表格1[[#This Row],[Dish]],dish_trans[中文菜名 (Chinese)],dish_trans[印尼文翻譯 (Indonesian)2])</f>
        <v>Pisang</v>
      </c>
      <c r="I106" s="1" t="s">
        <v>791</v>
      </c>
      <c r="J106" s="1" t="s">
        <v>7</v>
      </c>
      <c r="K106" s="1" t="s">
        <v>7</v>
      </c>
      <c r="L106" s="1" t="s">
        <v>6</v>
      </c>
      <c r="M106" s="1" t="s">
        <v>471</v>
      </c>
      <c r="N106" s="1" t="s">
        <v>463</v>
      </c>
      <c r="O106" s="1" t="s">
        <v>544</v>
      </c>
    </row>
    <row r="107" spans="2:15" x14ac:dyDescent="0.4">
      <c r="B107" s="1" t="s">
        <v>489</v>
      </c>
      <c r="C107" s="2" t="s">
        <v>475</v>
      </c>
      <c r="D107" s="2" t="s">
        <v>457</v>
      </c>
      <c r="E107" s="1" t="s">
        <v>482</v>
      </c>
      <c r="F107" s="1" t="str">
        <f>_xlfn.XLOOKUP(表格1[[#This Row],[Dish]],dish_trans!A:A,dish_trans!B:B)</f>
        <v>Unsweetened Soy Milk</v>
      </c>
      <c r="G107" s="1" t="str">
        <f>_xlfn.XLOOKUP(表格1[[#This Row],[Dish]],dish_trans[中文菜名 (Chinese)],dish_trans[菲律賓文翻譯 (Filipino/Tagalog)])</f>
        <v>Gatas na Soya na Walang Asukal</v>
      </c>
      <c r="H107" s="1" t="str">
        <f>_xlfn.XLOOKUP(表格1[[#This Row],[Dish]],dish_trans[中文菜名 (Chinese)],dish_trans[印尼文翻譯 (Indonesian)2])</f>
        <v>Susu Kedelai Tanpa Gula</v>
      </c>
      <c r="I107" s="1" t="s">
        <v>497</v>
      </c>
      <c r="J107" s="1" t="s">
        <v>7</v>
      </c>
      <c r="K107" s="1" t="s">
        <v>7</v>
      </c>
      <c r="L107" s="1" t="s">
        <v>6</v>
      </c>
      <c r="M107" s="1" t="s">
        <v>484</v>
      </c>
      <c r="N107" s="1" t="s">
        <v>497</v>
      </c>
      <c r="O107" s="1" t="s">
        <v>546</v>
      </c>
    </row>
    <row r="108" spans="2:15" x14ac:dyDescent="0.4">
      <c r="B108" s="1" t="s">
        <v>490</v>
      </c>
      <c r="C108" s="2" t="s">
        <v>475</v>
      </c>
      <c r="D108" s="2" t="s">
        <v>457</v>
      </c>
      <c r="E108" s="1" t="s">
        <v>483</v>
      </c>
      <c r="F108" s="1" t="str">
        <f>_xlfn.XLOOKUP(表格1[[#This Row],[Dish]],dish_trans!A:A,dish_trans!B:B)</f>
        <v>Steamed Buns</v>
      </c>
      <c r="G108" s="1" t="str">
        <f>_xlfn.XLOOKUP(表格1[[#This Row],[Dish]],dish_trans[中文菜名 (Chinese)],dish_trans[菲律賓文翻譯 (Filipino/Tagalog)])</f>
        <v>Pinasingawang Tinapay</v>
      </c>
      <c r="H108" s="1" t="str">
        <f>_xlfn.XLOOKUP(表格1[[#This Row],[Dish]],dish_trans[中文菜名 (Chinese)],dish_trans[印尼文翻譯 (Indonesian)2])</f>
        <v>Mantou Kukus</v>
      </c>
      <c r="I108" s="1" t="s">
        <v>556</v>
      </c>
      <c r="J108" s="1" t="s">
        <v>7</v>
      </c>
      <c r="K108" s="1" t="s">
        <v>7</v>
      </c>
      <c r="L108" s="1" t="s">
        <v>6</v>
      </c>
      <c r="M108" s="1" t="s">
        <v>471</v>
      </c>
      <c r="N108" s="1" t="s">
        <v>485</v>
      </c>
      <c r="O108" s="1" t="s">
        <v>546</v>
      </c>
    </row>
    <row r="109" spans="2:15" x14ac:dyDescent="0.4">
      <c r="B109" s="1" t="s">
        <v>491</v>
      </c>
      <c r="C109" s="1" t="s">
        <v>475</v>
      </c>
      <c r="D109" s="2" t="s">
        <v>457</v>
      </c>
      <c r="E109" s="2" t="s">
        <v>493</v>
      </c>
      <c r="F109" s="1" t="str">
        <f>_xlfn.XLOOKUP(表格1[[#This Row],[Dish]],dish_trans!A:A,dish_trans!B:B)</f>
        <v>Boiled Vegetables</v>
      </c>
      <c r="G109" s="1" t="str">
        <f>_xlfn.XLOOKUP(表格1[[#This Row],[Dish]],dish_trans[中文菜名 (Chinese)],dish_trans[菲律賓文翻譯 (Filipino/Tagalog)])</f>
        <v>Nilagang Gulay</v>
      </c>
      <c r="H109" s="1" t="str">
        <f>_xlfn.XLOOKUP(表格1[[#This Row],[Dish]],dish_trans[中文菜名 (Chinese)],dish_trans[印尼文翻譯 (Indonesian)2])</f>
        <v>Sayuran Rebus</v>
      </c>
      <c r="I109" s="1" t="s">
        <v>548</v>
      </c>
      <c r="J109" s="1" t="s">
        <v>6</v>
      </c>
      <c r="K109" s="1" t="s">
        <v>6</v>
      </c>
      <c r="L109" s="1" t="s">
        <v>7</v>
      </c>
      <c r="M109" s="1" t="s">
        <v>471</v>
      </c>
      <c r="N109" s="1" t="s">
        <v>463</v>
      </c>
      <c r="O109" s="1" t="s">
        <v>546</v>
      </c>
    </row>
    <row r="110" spans="2:15" x14ac:dyDescent="0.4">
      <c r="B110" s="1" t="s">
        <v>492</v>
      </c>
      <c r="C110" s="1" t="s">
        <v>475</v>
      </c>
      <c r="D110" s="2" t="s">
        <v>457</v>
      </c>
      <c r="E110" s="2" t="s">
        <v>494</v>
      </c>
      <c r="F110" s="1" t="str">
        <f>_xlfn.XLOOKUP(表格1[[#This Row],[Dish]],dish_trans!A:A,dish_trans!B:B)</f>
        <v>Stir-fried Vegetables</v>
      </c>
      <c r="G110" s="1" t="str">
        <f>_xlfn.XLOOKUP(表格1[[#This Row],[Dish]],dish_trans[中文菜名 (Chinese)],dish_trans[菲律賓文翻譯 (Filipino/Tagalog)])</f>
        <v>Ginisang Gulay</v>
      </c>
      <c r="H110" s="1" t="str">
        <f>_xlfn.XLOOKUP(表格1[[#This Row],[Dish]],dish_trans[中文菜名 (Chinese)],dish_trans[印尼文翻譯 (Indonesian)2])</f>
        <v>Sayuran Tumis</v>
      </c>
      <c r="I110" s="1" t="s">
        <v>548</v>
      </c>
      <c r="J110" s="1" t="s">
        <v>6</v>
      </c>
      <c r="K110" s="1" t="s">
        <v>6</v>
      </c>
      <c r="L110" s="1" t="s">
        <v>7</v>
      </c>
      <c r="M110" s="1" t="s">
        <v>471</v>
      </c>
      <c r="N110" s="1" t="s">
        <v>463</v>
      </c>
      <c r="O110" s="1" t="s">
        <v>546</v>
      </c>
    </row>
    <row r="111" spans="2:15" x14ac:dyDescent="0.4">
      <c r="B111" s="1" t="s">
        <v>496</v>
      </c>
      <c r="C111" s="1" t="s">
        <v>475</v>
      </c>
      <c r="D111" s="2" t="s">
        <v>110</v>
      </c>
      <c r="E111" s="5" t="s">
        <v>495</v>
      </c>
      <c r="F111" s="1" t="str">
        <f>_xlfn.XLOOKUP(表格1[[#This Row],[Dish]],dish_trans!A:A,dish_trans!B:B)</f>
        <v>Glutinous Rice Roll</v>
      </c>
      <c r="G111" s="1" t="str">
        <f>_xlfn.XLOOKUP(表格1[[#This Row],[Dish]],dish_trans[中文菜名 (Chinese)],dish_trans[菲律賓文翻譯 (Filipino/Tagalog)])</f>
        <v>Rolyo ng Malagkit na Kanin</v>
      </c>
      <c r="H111" s="1" t="str">
        <f>_xlfn.XLOOKUP(表格1[[#This Row],[Dish]],dish_trans[中文菜名 (Chinese)],dish_trans[印尼文翻譯 (Indonesian)2])</f>
        <v>Gulungan Nasi Ketan</v>
      </c>
      <c r="I111" s="1" t="s">
        <v>556</v>
      </c>
      <c r="J111" s="1" t="s">
        <v>7</v>
      </c>
      <c r="K111" s="1" t="s">
        <v>7</v>
      </c>
      <c r="L111" s="1" t="s">
        <v>6</v>
      </c>
      <c r="M111" s="1" t="s">
        <v>461</v>
      </c>
      <c r="N111" s="1" t="s">
        <v>485</v>
      </c>
      <c r="O111" s="1" t="s">
        <v>544</v>
      </c>
    </row>
    <row r="112" spans="2:15" x14ac:dyDescent="0.4">
      <c r="B112" s="1" t="s">
        <v>500</v>
      </c>
      <c r="C112" s="1" t="s">
        <v>475</v>
      </c>
      <c r="D112" s="2" t="s">
        <v>110</v>
      </c>
      <c r="E112" s="1" t="s">
        <v>499</v>
      </c>
      <c r="F112" s="1" t="str">
        <f>_xlfn.XLOOKUP(表格1[[#This Row],[Dish]],dish_trans!A:A,dish_trans!B:B)</f>
        <v>Stir-fried Noodles</v>
      </c>
      <c r="G112" s="1" t="str">
        <f>_xlfn.XLOOKUP(表格1[[#This Row],[Dish]],dish_trans[中文菜名 (Chinese)],dish_trans[菲律賓文翻譯 (Filipino/Tagalog)])</f>
        <v>Ginisang Noodles</v>
      </c>
      <c r="H112" s="1" t="str">
        <f>_xlfn.XLOOKUP(表格1[[#This Row],[Dish]],dish_trans[中文菜名 (Chinese)],dish_trans[印尼文翻譯 (Indonesian)2])</f>
        <v>Mi Goreng</v>
      </c>
      <c r="I112" s="1" t="s">
        <v>556</v>
      </c>
      <c r="J112" s="1" t="s">
        <v>6</v>
      </c>
      <c r="K112" s="1" t="s">
        <v>6</v>
      </c>
      <c r="L112" s="1" t="s">
        <v>7</v>
      </c>
      <c r="M112" s="1" t="s">
        <v>501</v>
      </c>
      <c r="N112" s="1" t="s">
        <v>485</v>
      </c>
      <c r="O112" s="1" t="s">
        <v>544</v>
      </c>
    </row>
    <row r="113" spans="1:16" x14ac:dyDescent="0.4">
      <c r="B113" s="1" t="s">
        <v>503</v>
      </c>
      <c r="C113" s="2" t="s">
        <v>5</v>
      </c>
      <c r="D113" s="2" t="s">
        <v>457</v>
      </c>
      <c r="E113" s="1" t="s">
        <v>502</v>
      </c>
      <c r="F113" s="1" t="str">
        <f>_xlfn.XLOOKUP(表格1[[#This Row],[Dish]],dish_trans!A:A,dish_trans!B:B)</f>
        <v>Nuts</v>
      </c>
      <c r="G113" s="1" t="str">
        <f>_xlfn.XLOOKUP(表格1[[#This Row],[Dish]],dish_trans[中文菜名 (Chinese)],dish_trans[菲律賓文翻譯 (Filipino/Tagalog)])</f>
        <v>Mga Mani at Ibang Nut</v>
      </c>
      <c r="H113" s="1" t="str">
        <f>_xlfn.XLOOKUP(表格1[[#This Row],[Dish]],dish_trans[中文菜名 (Chinese)],dish_trans[印尼文翻譯 (Indonesian)2])</f>
        <v>Kacang-kacangan</v>
      </c>
      <c r="I113" s="1" t="s">
        <v>791</v>
      </c>
      <c r="J113" s="1" t="s">
        <v>7</v>
      </c>
      <c r="K113" s="1" t="s">
        <v>7</v>
      </c>
      <c r="L113" s="1" t="s">
        <v>6</v>
      </c>
      <c r="M113" s="1" t="s">
        <v>484</v>
      </c>
      <c r="N113" s="1" t="s">
        <v>536</v>
      </c>
      <c r="O113" s="1" t="s">
        <v>544</v>
      </c>
    </row>
    <row r="114" spans="1:16" x14ac:dyDescent="0.4">
      <c r="B114" s="1" t="s">
        <v>505</v>
      </c>
      <c r="C114" s="2" t="s">
        <v>5</v>
      </c>
      <c r="D114" s="2" t="s">
        <v>110</v>
      </c>
      <c r="E114" s="1" t="s">
        <v>504</v>
      </c>
      <c r="F114" s="1" t="str">
        <f>_xlfn.XLOOKUP(表格1[[#This Row],[Dish]],dish_trans!A:A,dish_trans!B:B)</f>
        <v>All-day Breakfast</v>
      </c>
      <c r="G114" s="1" t="str">
        <f>_xlfn.XLOOKUP(表格1[[#This Row],[Dish]],dish_trans[中文菜名 (Chinese)],dish_trans[菲律賓文翻譯 (Filipino/Tagalog)])</f>
        <v>Almusal para sa Buong Araw</v>
      </c>
      <c r="H114" s="1" t="str">
        <f>_xlfn.XLOOKUP(表格1[[#This Row],[Dish]],dish_trans[中文菜名 (Chinese)],dish_trans[印尼文翻譯 (Indonesian)2])</f>
        <v>Sarapan Sepanjang Hari</v>
      </c>
      <c r="I114" s="1" t="s">
        <v>556</v>
      </c>
      <c r="J114" s="1" t="s">
        <v>6</v>
      </c>
      <c r="K114" s="1" t="s">
        <v>6</v>
      </c>
      <c r="L114" s="1" t="s">
        <v>7</v>
      </c>
      <c r="M114" s="1" t="s">
        <v>461</v>
      </c>
      <c r="N114" s="1" t="s">
        <v>534</v>
      </c>
      <c r="O114" s="1" t="s">
        <v>544</v>
      </c>
    </row>
    <row r="115" spans="1:16" x14ac:dyDescent="0.4">
      <c r="B115" s="1" t="s">
        <v>507</v>
      </c>
      <c r="C115" s="2" t="s">
        <v>5</v>
      </c>
      <c r="D115" s="2" t="s">
        <v>457</v>
      </c>
      <c r="E115" s="1" t="s">
        <v>506</v>
      </c>
      <c r="F115" s="1" t="str">
        <f>_xlfn.XLOOKUP(表格1[[#This Row],[Dish]],dish_trans!A:A,dish_trans!B:B)</f>
        <v>Mashed Potato</v>
      </c>
      <c r="G115" s="1" t="str">
        <f>_xlfn.XLOOKUP(表格1[[#This Row],[Dish]],dish_trans[中文菜名 (Chinese)],dish_trans[菲律賓文翻譯 (Filipino/Tagalog)])</f>
        <v>Niligis na Patatas</v>
      </c>
      <c r="H115" s="1" t="str">
        <f>_xlfn.XLOOKUP(表格1[[#This Row],[Dish]],dish_trans[中文菜名 (Chinese)],dish_trans[印尼文翻譯 (Indonesian)2])</f>
        <v>Kentang Tumbuk</v>
      </c>
      <c r="I115" s="1" t="s">
        <v>548</v>
      </c>
      <c r="J115" s="1" t="s">
        <v>6</v>
      </c>
      <c r="K115" s="1" t="s">
        <v>6</v>
      </c>
      <c r="L115" s="1" t="s">
        <v>6</v>
      </c>
      <c r="M115" s="1" t="s">
        <v>471</v>
      </c>
      <c r="N115" s="1" t="s">
        <v>485</v>
      </c>
      <c r="O115" s="1" t="s">
        <v>546</v>
      </c>
    </row>
    <row r="116" spans="1:16" x14ac:dyDescent="0.4">
      <c r="B116" s="1" t="s">
        <v>509</v>
      </c>
      <c r="C116" s="2" t="s">
        <v>5</v>
      </c>
      <c r="D116" s="2" t="s">
        <v>110</v>
      </c>
      <c r="E116" s="1" t="s">
        <v>508</v>
      </c>
      <c r="F116" s="1" t="str">
        <f>_xlfn.XLOOKUP(表格1[[#This Row],[Dish]],dish_trans!A:A,dish_trans!B:B)</f>
        <v>Creamy Pumpkin Soup</v>
      </c>
      <c r="G116" s="1" t="str">
        <f>_xlfn.XLOOKUP(表格1[[#This Row],[Dish]],dish_trans[中文菜名 (Chinese)],dish_trans[菲律賓文翻譯 (Filipino/Tagalog)])</f>
        <v>Malapot na Sabaw ng Kalabasa</v>
      </c>
      <c r="H116" s="1" t="str">
        <f>_xlfn.XLOOKUP(表格1[[#This Row],[Dish]],dish_trans[中文菜名 (Chinese)],dish_trans[印尼文翻譯 (Indonesian)2])</f>
        <v>Sup Krim Labu</v>
      </c>
      <c r="I116" s="1" t="s">
        <v>548</v>
      </c>
      <c r="J116" s="1" t="s">
        <v>6</v>
      </c>
      <c r="K116" s="1" t="s">
        <v>6</v>
      </c>
      <c r="L116" s="1" t="s">
        <v>7</v>
      </c>
      <c r="M116" s="1" t="s">
        <v>471</v>
      </c>
      <c r="N116" s="1" t="s">
        <v>510</v>
      </c>
      <c r="O116" s="1" t="s">
        <v>544</v>
      </c>
    </row>
    <row r="117" spans="1:16" x14ac:dyDescent="0.4">
      <c r="B117" s="1" t="s">
        <v>517</v>
      </c>
      <c r="C117" s="1" t="s">
        <v>3</v>
      </c>
      <c r="D117" s="2" t="s">
        <v>110</v>
      </c>
      <c r="E117" s="1" t="s">
        <v>511</v>
      </c>
      <c r="F117" s="1" t="str">
        <f>_xlfn.XLOOKUP(表格1[[#This Row],[Dish]],dish_trans!A:A,dish_trans!B:B)</f>
        <v>Steamed Fish</v>
      </c>
      <c r="G117" s="1" t="str">
        <f>_xlfn.XLOOKUP(表格1[[#This Row],[Dish]],dish_trans[中文菜名 (Chinese)],dish_trans[菲律賓文翻譯 (Filipino/Tagalog)])</f>
        <v>Pinasingawang Isda</v>
      </c>
      <c r="H117" s="1" t="str">
        <f>_xlfn.XLOOKUP(表格1[[#This Row],[Dish]],dish_trans[中文菜名 (Chinese)],dish_trans[印尼文翻譯 (Indonesian)2])</f>
        <v>Ikan Kukus</v>
      </c>
      <c r="I117" s="1" t="s">
        <v>548</v>
      </c>
      <c r="J117" s="1" t="s">
        <v>6</v>
      </c>
      <c r="K117" s="1" t="s">
        <v>6</v>
      </c>
      <c r="L117" s="1" t="s">
        <v>7</v>
      </c>
      <c r="M117" s="2" t="s">
        <v>228</v>
      </c>
      <c r="N117" s="1" t="s">
        <v>459</v>
      </c>
      <c r="O117" s="1" t="s">
        <v>546</v>
      </c>
      <c r="P117" s="1">
        <v>1</v>
      </c>
    </row>
    <row r="118" spans="1:16" x14ac:dyDescent="0.4">
      <c r="B118" s="1" t="s">
        <v>518</v>
      </c>
      <c r="C118" s="1" t="s">
        <v>3</v>
      </c>
      <c r="D118" s="2" t="s">
        <v>110</v>
      </c>
      <c r="E118" s="2" t="s">
        <v>512</v>
      </c>
      <c r="F118" s="1" t="str">
        <f>_xlfn.XLOOKUP(表格1[[#This Row],[Dish]],dish_trans!A:A,dish_trans!B:B)</f>
        <v>Pan-seared Prawns</v>
      </c>
      <c r="G118" s="1" t="str">
        <f>_xlfn.XLOOKUP(表格1[[#This Row],[Dish]],dish_trans[中文菜名 (Chinese)],dish_trans[菲律賓文翻譯 (Filipino/Tagalog)])</f>
        <v>Hipon na Pinirito sa Kaunting Mantika</v>
      </c>
      <c r="H118" s="1" t="str">
        <f>_xlfn.XLOOKUP(表格1[[#This Row],[Dish]],dish_trans[中文菜名 (Chinese)],dish_trans[印尼文翻譯 (Indonesian)2])</f>
        <v>Udang Besar Goreng Wajan</v>
      </c>
      <c r="I118" s="1" t="s">
        <v>548</v>
      </c>
      <c r="J118" s="1" t="s">
        <v>7</v>
      </c>
      <c r="K118" s="1" t="s">
        <v>6</v>
      </c>
      <c r="L118" s="1" t="s">
        <v>7</v>
      </c>
      <c r="M118" s="2" t="s">
        <v>228</v>
      </c>
      <c r="N118" s="1" t="s">
        <v>459</v>
      </c>
      <c r="O118" s="1" t="s">
        <v>544</v>
      </c>
      <c r="P118" s="1">
        <v>1</v>
      </c>
    </row>
    <row r="119" spans="1:16" x14ac:dyDescent="0.4">
      <c r="B119" s="1" t="s">
        <v>519</v>
      </c>
      <c r="C119" s="1" t="s">
        <v>3</v>
      </c>
      <c r="D119" s="2" t="s">
        <v>110</v>
      </c>
      <c r="E119" s="2" t="s">
        <v>513</v>
      </c>
      <c r="F119" s="1" t="str">
        <f>_xlfn.XLOOKUP(表格1[[#This Row],[Dish]],dish_trans!A:A,dish_trans!B:B)</f>
        <v>Luffa and Clams in Oil-and-salt Broth</v>
      </c>
      <c r="G119" s="1" t="str">
        <f>_xlfn.XLOOKUP(表格1[[#This Row],[Dish]],dish_trans[中文菜名 (Chinese)],dish_trans[菲律賓文翻譯 (Filipino/Tagalog)])</f>
        <v>Patola at Tulya sa Sabaw na may Mantika at Asin</v>
      </c>
      <c r="H119" s="1" t="str">
        <f>_xlfn.XLOOKUP(表格1[[#This Row],[Dish]],dish_trans[中文菜名 (Chinese)],dish_trans[印尼文翻譯 (Indonesian)2])</f>
        <v>Oyong dan Kerang dalam Kuah Minyak dan Garam</v>
      </c>
      <c r="I119" s="1" t="s">
        <v>548</v>
      </c>
      <c r="J119" s="1" t="s">
        <v>7</v>
      </c>
      <c r="K119" s="1" t="s">
        <v>6</v>
      </c>
      <c r="L119" s="1" t="s">
        <v>7</v>
      </c>
      <c r="M119" s="2" t="s">
        <v>228</v>
      </c>
      <c r="N119" s="1" t="s">
        <v>459</v>
      </c>
      <c r="O119" s="1" t="s">
        <v>544</v>
      </c>
      <c r="P119" s="1">
        <v>1</v>
      </c>
    </row>
    <row r="120" spans="1:16" x14ac:dyDescent="0.4">
      <c r="B120" s="1" t="s">
        <v>520</v>
      </c>
      <c r="C120" s="1" t="s">
        <v>3</v>
      </c>
      <c r="D120" s="2" t="s">
        <v>110</v>
      </c>
      <c r="E120" s="2" t="s">
        <v>2313</v>
      </c>
      <c r="F120" s="1" t="str">
        <f>_xlfn.XLOOKUP(表格1[[#This Row],[Dish]],dish_trans!A:A,dish_trans!B:B)</f>
        <v>Steamed Tofu and Scallops in Black Bean Sauce</v>
      </c>
      <c r="G120" s="1" t="str">
        <f>_xlfn.XLOOKUP(表格1[[#This Row],[Dish]],dish_trans[中文菜名 (Chinese)],dish_trans[菲律賓文翻譯 (Filipino/Tagalog)])</f>
        <v>Pinasingawang Tokwa at Scallop sa Sarsang Tausi</v>
      </c>
      <c r="H120" s="1" t="str">
        <f>_xlfn.XLOOKUP(表格1[[#This Row],[Dish]],dish_trans[中文菜名 (Chinese)],dish_trans[印尼文翻譯 (Indonesian)2])</f>
        <v>Tahu dan Kerang Simping Kukus Saus Kacang Hitam Fermentasi</v>
      </c>
      <c r="I120" s="1" t="s">
        <v>548</v>
      </c>
      <c r="J120" s="1" t="s">
        <v>7</v>
      </c>
      <c r="K120" s="1" t="s">
        <v>6</v>
      </c>
      <c r="L120" s="1" t="s">
        <v>7</v>
      </c>
      <c r="M120" s="2" t="s">
        <v>228</v>
      </c>
      <c r="N120" s="1" t="s">
        <v>459</v>
      </c>
      <c r="O120" s="1" t="s">
        <v>544</v>
      </c>
    </row>
    <row r="121" spans="1:16" x14ac:dyDescent="0.4">
      <c r="B121" s="1" t="s">
        <v>521</v>
      </c>
      <c r="C121" s="2" t="s">
        <v>12</v>
      </c>
      <c r="D121" s="2" t="s">
        <v>110</v>
      </c>
      <c r="E121" s="1" t="s">
        <v>514</v>
      </c>
      <c r="F121" s="1" t="str">
        <f>_xlfn.XLOOKUP(表格1[[#This Row],[Dish]],dish_trans!A:A,dish_trans!B:B)</f>
        <v>Lemongrass Shrimp Sticks</v>
      </c>
      <c r="G121" s="1" t="str">
        <f>_xlfn.XLOOKUP(表格1[[#This Row],[Dish]],dish_trans[中文菜名 (Chinese)],dish_trans[菲律賓文翻譯 (Filipino/Tagalog)])</f>
        <v>Mga Stick ng Hipon na may Tanglad</v>
      </c>
      <c r="H121" s="1" t="str">
        <f>_xlfn.XLOOKUP(表格1[[#This Row],[Dish]],dish_trans[中文菜名 (Chinese)],dish_trans[印尼文翻譯 (Indonesian)2])</f>
        <v>Stik Udang Serai</v>
      </c>
      <c r="I121" s="1" t="s">
        <v>548</v>
      </c>
      <c r="J121" s="1" t="s">
        <v>7</v>
      </c>
      <c r="K121" s="1" t="s">
        <v>6</v>
      </c>
      <c r="L121" s="1" t="s">
        <v>7</v>
      </c>
      <c r="M121" s="2" t="s">
        <v>228</v>
      </c>
      <c r="N121" s="1" t="s">
        <v>459</v>
      </c>
      <c r="O121" s="1" t="s">
        <v>544</v>
      </c>
      <c r="P121" s="1">
        <v>2</v>
      </c>
    </row>
    <row r="122" spans="1:16" x14ac:dyDescent="0.4">
      <c r="B122" s="1" t="s">
        <v>522</v>
      </c>
      <c r="C122" s="1" t="s">
        <v>3</v>
      </c>
      <c r="D122" s="2" t="s">
        <v>110</v>
      </c>
      <c r="E122" s="1" t="s">
        <v>515</v>
      </c>
      <c r="F122" s="1" t="str">
        <f>_xlfn.XLOOKUP(表格1[[#This Row],[Dish]],dish_trans!A:A,dish_trans!B:B)</f>
        <v>Steamed Split Prawns with Fresh and Fried Garlic</v>
      </c>
      <c r="G122" s="1" t="str">
        <f>_xlfn.XLOOKUP(表格1[[#This Row],[Dish]],dish_trans[中文菜名 (Chinese)],dish_trans[菲律賓文翻譯 (Filipino/Tagalog)])</f>
        <v>Pinasingawang Binukang Hipon na may Sariwa at Pritong Bawang</v>
      </c>
      <c r="H122" s="1" t="str">
        <f>_xlfn.XLOOKUP(表格1[[#This Row],[Dish]],dish_trans[中文菜名 (Chinese)],dish_trans[印尼文翻譯 (Indonesian)2])</f>
        <v>Udang Belah Kukus dengan Bawang Putih Segar dan Goreng</v>
      </c>
      <c r="I122" s="1" t="s">
        <v>548</v>
      </c>
      <c r="J122" s="1" t="s">
        <v>7</v>
      </c>
      <c r="K122" s="1" t="s">
        <v>6</v>
      </c>
      <c r="L122" s="1" t="s">
        <v>7</v>
      </c>
      <c r="M122" s="2" t="s">
        <v>228</v>
      </c>
      <c r="N122" s="1" t="s">
        <v>459</v>
      </c>
      <c r="O122" s="1" t="s">
        <v>544</v>
      </c>
      <c r="P122" s="1">
        <v>1</v>
      </c>
    </row>
    <row r="123" spans="1:16" x14ac:dyDescent="0.4">
      <c r="B123" s="1" t="s">
        <v>524</v>
      </c>
      <c r="C123" s="2" t="s">
        <v>26</v>
      </c>
      <c r="D123" s="2" t="s">
        <v>457</v>
      </c>
      <c r="E123" s="6" t="s">
        <v>623</v>
      </c>
      <c r="F123" s="1" t="str">
        <f>_xlfn.XLOOKUP(表格1[[#This Row],[Dish]],dish_trans!A:A,dish_trans!B:B)</f>
        <v>Miso Soup</v>
      </c>
      <c r="G123" s="1" t="str">
        <f>_xlfn.XLOOKUP(表格1[[#This Row],[Dish]],dish_trans[中文菜名 (Chinese)],dish_trans[菲律賓文翻譯 (Filipino/Tagalog)])</f>
        <v>Sabaw na Miso</v>
      </c>
      <c r="H123" s="1" t="str">
        <f>_xlfn.XLOOKUP(表格1[[#This Row],[Dish]],dish_trans[中文菜名 (Chinese)],dish_trans[印尼文翻譯 (Indonesian)2])</f>
        <v>Sup Miso</v>
      </c>
      <c r="I123" s="1" t="s">
        <v>497</v>
      </c>
      <c r="J123" s="1" t="s">
        <v>6</v>
      </c>
      <c r="K123" s="1" t="s">
        <v>6</v>
      </c>
      <c r="L123" s="1" t="s">
        <v>7</v>
      </c>
      <c r="M123" s="1" t="s">
        <v>471</v>
      </c>
      <c r="N123" s="1" t="s">
        <v>510</v>
      </c>
      <c r="O123" s="1" t="s">
        <v>542</v>
      </c>
    </row>
    <row r="124" spans="1:16" x14ac:dyDescent="0.4">
      <c r="B124" s="1" t="s">
        <v>526</v>
      </c>
      <c r="C124" s="1" t="s">
        <v>3</v>
      </c>
      <c r="D124" s="2" t="s">
        <v>110</v>
      </c>
      <c r="E124" s="1" t="s">
        <v>525</v>
      </c>
      <c r="F124" s="1" t="str">
        <f>_xlfn.XLOOKUP(表格1[[#This Row],[Dish]],dish_trans!A:A,dish_trans!B:B)</f>
        <v>Steamed Abalone with Dried Tangerine Peel</v>
      </c>
      <c r="G124" s="1" t="str">
        <f>_xlfn.XLOOKUP(表格1[[#This Row],[Dish]],dish_trans[中文菜名 (Chinese)],dish_trans[菲律賓文翻譯 (Filipino/Tagalog)])</f>
        <v>Pinasingawang Abalone na may Tuyong Balat ng Dalandan</v>
      </c>
      <c r="H124" s="1" t="str">
        <f>_xlfn.XLOOKUP(表格1[[#This Row],[Dish]],dish_trans[中文菜名 (Chinese)],dish_trans[印尼文翻譯 (Indonesian)2])</f>
        <v>Abalon Kukus dengan Kulit Jeruk Mandarin Kering</v>
      </c>
      <c r="I124" s="1" t="s">
        <v>548</v>
      </c>
      <c r="J124" s="1" t="s">
        <v>7</v>
      </c>
      <c r="K124" s="1" t="s">
        <v>6</v>
      </c>
      <c r="L124" s="1" t="s">
        <v>7</v>
      </c>
      <c r="M124" s="1" t="s">
        <v>469</v>
      </c>
      <c r="N124" s="1" t="s">
        <v>459</v>
      </c>
      <c r="O124" s="1" t="s">
        <v>544</v>
      </c>
      <c r="P124" s="1">
        <v>1</v>
      </c>
    </row>
    <row r="125" spans="1:16" x14ac:dyDescent="0.4">
      <c r="B125" s="1" t="s">
        <v>527</v>
      </c>
      <c r="C125" s="1" t="s">
        <v>3</v>
      </c>
      <c r="D125" s="2" t="s">
        <v>110</v>
      </c>
      <c r="E125" s="6" t="s">
        <v>2314</v>
      </c>
      <c r="F125" s="1" t="str">
        <f>_xlfn.XLOOKUP(表格1[[#This Row],[Dish]],dish_trans!A:A,dish_trans!B:B)</f>
        <v>Soy Sauce Pan-fried Prawns on Rice Noodle Rolls</v>
      </c>
      <c r="G125" s="1" t="str">
        <f>_xlfn.XLOOKUP(表格1[[#This Row],[Dish]],dish_trans[中文菜名 (Chinese)],dish_trans[菲律賓文翻譯 (Filipino/Tagalog)])</f>
        <v>Pritong Hipon sa Toyo sa Ibabaw ng Rice Noodle Rolls</v>
      </c>
      <c r="H125" s="1" t="str">
        <f>_xlfn.XLOOKUP(表格1[[#This Row],[Dish]],dish_trans[中文菜名 (Chinese)],dish_trans[印尼文翻譯 (Indonesian)2])</f>
        <v>Udang Goreng Kecap di atas Gulungan Mi Beras</v>
      </c>
      <c r="I125" s="1" t="s">
        <v>548</v>
      </c>
      <c r="J125" s="1" t="s">
        <v>7</v>
      </c>
      <c r="K125" s="1" t="s">
        <v>6</v>
      </c>
      <c r="L125" s="1" t="s">
        <v>7</v>
      </c>
      <c r="M125" s="1" t="s">
        <v>469</v>
      </c>
      <c r="N125" s="1" t="s">
        <v>459</v>
      </c>
      <c r="O125" s="1" t="s">
        <v>542</v>
      </c>
      <c r="P125" s="1">
        <v>1</v>
      </c>
    </row>
    <row r="126" spans="1:16" x14ac:dyDescent="0.4">
      <c r="B126" s="1" t="s">
        <v>529</v>
      </c>
      <c r="C126" s="1" t="s">
        <v>3</v>
      </c>
      <c r="D126" s="2" t="s">
        <v>110</v>
      </c>
      <c r="E126" s="1" t="s">
        <v>528</v>
      </c>
      <c r="F126" s="1" t="str">
        <f>_xlfn.XLOOKUP(表格1[[#This Row],[Dish]],dish_trans!A:A,dish_trans!B:B)</f>
        <v>Pan-fried Dumplings</v>
      </c>
      <c r="G126" s="1" t="str">
        <f>_xlfn.XLOOKUP(表格1[[#This Row],[Dish]],dish_trans[中文菜名 (Chinese)],dish_trans[菲律賓文翻譯 (Filipino/Tagalog)])</f>
        <v>Pinritong Dumpling</v>
      </c>
      <c r="H126" s="1" t="str">
        <f>_xlfn.XLOOKUP(表格1[[#This Row],[Dish]],dish_trans[中文菜名 (Chinese)],dish_trans[印尼文翻譯 (Indonesian)2])</f>
        <v>Pangsit Goreng Wajan</v>
      </c>
      <c r="I126" s="1" t="s">
        <v>548</v>
      </c>
      <c r="J126" s="1" t="s">
        <v>6</v>
      </c>
      <c r="K126" s="1" t="s">
        <v>6</v>
      </c>
      <c r="L126" s="1" t="s">
        <v>7</v>
      </c>
      <c r="M126" s="1" t="s">
        <v>461</v>
      </c>
      <c r="N126" s="1" t="s">
        <v>534</v>
      </c>
      <c r="O126" s="1" t="s">
        <v>542</v>
      </c>
    </row>
    <row r="127" spans="1:16" x14ac:dyDescent="0.4">
      <c r="B127" s="1" t="s">
        <v>532</v>
      </c>
      <c r="C127" s="1" t="s">
        <v>3</v>
      </c>
      <c r="D127" s="2" t="s">
        <v>458</v>
      </c>
      <c r="E127" s="1" t="s">
        <v>530</v>
      </c>
      <c r="F127" s="1" t="str">
        <f>_xlfn.XLOOKUP(表格1[[#This Row],[Dish]],dish_trans!A:A,dish_trans!B:B)</f>
        <v>Stir-fried Bitter Melon with Eggs</v>
      </c>
      <c r="G127" s="1" t="str">
        <f>_xlfn.XLOOKUP(表格1[[#This Row],[Dish]],dish_trans[中文菜名 (Chinese)],dish_trans[菲律賓文翻譯 (Filipino/Tagalog)])</f>
        <v>Ginisang Ampalaya na may Itlog</v>
      </c>
      <c r="H127" s="1" t="str">
        <f>_xlfn.XLOOKUP(表格1[[#This Row],[Dish]],dish_trans[中文菜名 (Chinese)],dish_trans[印尼文翻譯 (Indonesian)2])</f>
        <v>Pare Tumis Telur</v>
      </c>
      <c r="I127" s="1" t="s">
        <v>548</v>
      </c>
      <c r="J127" s="1" t="s">
        <v>6</v>
      </c>
      <c r="K127" s="1" t="s">
        <v>6</v>
      </c>
      <c r="L127" s="1" t="s">
        <v>7</v>
      </c>
      <c r="M127" s="1" t="s">
        <v>473</v>
      </c>
      <c r="N127" s="1" t="s">
        <v>463</v>
      </c>
      <c r="O127" s="1" t="s">
        <v>544</v>
      </c>
    </row>
    <row r="128" spans="1:16" x14ac:dyDescent="0.4">
      <c r="A128" s="33" t="s">
        <v>533</v>
      </c>
      <c r="B128" s="1" t="s">
        <v>533</v>
      </c>
      <c r="C128" s="1" t="s">
        <v>3</v>
      </c>
      <c r="D128" s="2" t="s">
        <v>458</v>
      </c>
      <c r="E128" s="1" t="s">
        <v>531</v>
      </c>
      <c r="F128" s="1" t="str">
        <f>_xlfn.XLOOKUP(表格1[[#This Row],[Dish]],dish_trans!A:A,dish_trans!B:B)</f>
        <v>Stir-fried Tomatoes with Eggs</v>
      </c>
      <c r="G128" s="1" t="str">
        <f>_xlfn.XLOOKUP(表格1[[#This Row],[Dish]],dish_trans[中文菜名 (Chinese)],dish_trans[菲律賓文翻譯 (Filipino/Tagalog)])</f>
        <v>Ginisang Kamatis na may Itlog</v>
      </c>
      <c r="H128" s="1" t="str">
        <f>_xlfn.XLOOKUP(表格1[[#This Row],[Dish]],dish_trans[中文菜名 (Chinese)],dish_trans[印尼文翻譯 (Indonesian)2])</f>
        <v>Tomat Tumis Telur</v>
      </c>
      <c r="I128" s="1" t="s">
        <v>548</v>
      </c>
      <c r="J128" s="1" t="s">
        <v>6</v>
      </c>
      <c r="K128" s="1" t="s">
        <v>6</v>
      </c>
      <c r="L128" s="1" t="s">
        <v>7</v>
      </c>
      <c r="M128" s="1" t="s">
        <v>473</v>
      </c>
      <c r="N128" s="1" t="s">
        <v>463</v>
      </c>
      <c r="O128" s="1" t="s">
        <v>544</v>
      </c>
    </row>
    <row r="129" spans="2:16" x14ac:dyDescent="0.4">
      <c r="B129" s="1" t="s">
        <v>539</v>
      </c>
      <c r="C129" s="1" t="s">
        <v>3</v>
      </c>
      <c r="D129" s="2" t="s">
        <v>110</v>
      </c>
      <c r="E129" s="1" t="s">
        <v>538</v>
      </c>
      <c r="F129" s="1" t="str">
        <f>_xlfn.XLOOKUP(表格1[[#This Row],[Dish]],dish_trans!A:A,dish_trans!B:B)</f>
        <v>Pan-fried Stuffed Green Peppers</v>
      </c>
      <c r="G129" s="1" t="str">
        <f>_xlfn.XLOOKUP(表格1[[#This Row],[Dish]],dish_trans[中文菜名 (Chinese)],dish_trans[菲律賓文翻譯 (Filipino/Tagalog)])</f>
        <v>Pinritong Pinalamanang Berdeng Sili</v>
      </c>
      <c r="H129" s="1" t="str">
        <f>_xlfn.XLOOKUP(表格1[[#This Row],[Dish]],dish_trans[中文菜名 (Chinese)],dish_trans[印尼文翻譯 (Indonesian)2])</f>
        <v>Paprika Hijau Isi Goreng Wajan</v>
      </c>
      <c r="I129" s="1" t="s">
        <v>548</v>
      </c>
      <c r="J129" s="1" t="s">
        <v>6</v>
      </c>
      <c r="K129" s="1" t="s">
        <v>6</v>
      </c>
      <c r="L129" s="1" t="s">
        <v>7</v>
      </c>
      <c r="M129" s="1" t="s">
        <v>469</v>
      </c>
      <c r="N129" s="1" t="s">
        <v>463</v>
      </c>
      <c r="O129" s="1" t="s">
        <v>542</v>
      </c>
      <c r="P129" s="1">
        <v>2</v>
      </c>
    </row>
    <row r="130" spans="2:16" x14ac:dyDescent="0.4">
      <c r="B130" s="1" t="s">
        <v>552</v>
      </c>
      <c r="C130" s="2" t="s">
        <v>26</v>
      </c>
      <c r="D130" s="2" t="s">
        <v>110</v>
      </c>
      <c r="E130" s="1" t="s">
        <v>550</v>
      </c>
      <c r="F130" s="1" t="str">
        <f>_xlfn.XLOOKUP(表格1[[#This Row],[Dish]],dish_trans!A:A,dish_trans!B:B)</f>
        <v>Japanese Steamed Egg Custard</v>
      </c>
      <c r="G130" s="1" t="str">
        <f>_xlfn.XLOOKUP(表格1[[#This Row],[Dish]],dish_trans[中文菜名 (Chinese)],dish_trans[菲律賓文翻譯 (Filipino/Tagalog)])</f>
        <v>Japanese na Pinasingawang Itlog</v>
      </c>
      <c r="H130" s="1" t="str">
        <f>_xlfn.XLOOKUP(表格1[[#This Row],[Dish]],dish_trans[中文菜名 (Chinese)],dish_trans[印尼文翻譯 (Indonesian)2])</f>
        <v>Telur Kukus Jepang</v>
      </c>
      <c r="I130" s="1" t="s">
        <v>559</v>
      </c>
      <c r="J130" s="1" t="s">
        <v>6</v>
      </c>
      <c r="K130" s="1" t="s">
        <v>6</v>
      </c>
      <c r="L130" s="1" t="s">
        <v>7</v>
      </c>
      <c r="M130" s="1" t="s">
        <v>473</v>
      </c>
      <c r="N130" s="1" t="s">
        <v>463</v>
      </c>
      <c r="O130" s="1" t="s">
        <v>544</v>
      </c>
    </row>
    <row r="131" spans="2:16" x14ac:dyDescent="0.4">
      <c r="B131" s="1" t="s">
        <v>553</v>
      </c>
      <c r="C131" s="2" t="s">
        <v>26</v>
      </c>
      <c r="D131" s="2" t="s">
        <v>458</v>
      </c>
      <c r="E131" s="1" t="s">
        <v>551</v>
      </c>
      <c r="F131" s="1" t="str">
        <f>_xlfn.XLOOKUP(表格1[[#This Row],[Dish]],dish_trans!A:A,dish_trans!B:B)</f>
        <v>Japanese Rolled Omelette</v>
      </c>
      <c r="G131" s="1" t="str">
        <f>_xlfn.XLOOKUP(表格1[[#This Row],[Dish]],dish_trans[中文菜名 (Chinese)],dish_trans[菲律賓文翻譯 (Filipino/Tagalog)])</f>
        <v>Japanese na Nirolyong Omelette</v>
      </c>
      <c r="H131" s="1" t="str">
        <f>_xlfn.XLOOKUP(表格1[[#This Row],[Dish]],dish_trans[中文菜名 (Chinese)],dish_trans[印尼文翻譯 (Indonesian)2])</f>
        <v>Telur Dadar Gulung Jepang</v>
      </c>
      <c r="I131" s="1" t="s">
        <v>559</v>
      </c>
      <c r="J131" s="1" t="s">
        <v>6</v>
      </c>
      <c r="K131" s="1" t="s">
        <v>6</v>
      </c>
      <c r="L131" s="1" t="s">
        <v>7</v>
      </c>
      <c r="M131" s="1" t="s">
        <v>473</v>
      </c>
      <c r="N131" s="1" t="s">
        <v>463</v>
      </c>
      <c r="O131" s="1" t="s">
        <v>546</v>
      </c>
    </row>
    <row r="132" spans="2:16" x14ac:dyDescent="0.4">
      <c r="B132" s="1" t="s">
        <v>555</v>
      </c>
      <c r="C132" s="1" t="s">
        <v>3</v>
      </c>
      <c r="D132" s="2" t="s">
        <v>110</v>
      </c>
      <c r="E132" s="1" t="s">
        <v>554</v>
      </c>
      <c r="F132" s="1" t="str">
        <f>_xlfn.XLOOKUP(表格1[[#This Row],[Dish]],dish_trans!A:A,dish_trans!B:B)</f>
        <v>Honey Chicken Wings</v>
      </c>
      <c r="G132" s="1" t="str">
        <f>_xlfn.XLOOKUP(表格1[[#This Row],[Dish]],dish_trans[中文菜名 (Chinese)],dish_trans[菲律賓文翻譯 (Filipino/Tagalog)])</f>
        <v>Pakpak ng Manok na may Pulot</v>
      </c>
      <c r="H132" s="1" t="str">
        <f>_xlfn.XLOOKUP(表格1[[#This Row],[Dish]],dish_trans[中文菜名 (Chinese)],dish_trans[印尼文翻譯 (Indonesian)2])</f>
        <v>Sayap Ayam Madu</v>
      </c>
      <c r="I132" s="1" t="s">
        <v>548</v>
      </c>
      <c r="J132" s="1" t="s">
        <v>6</v>
      </c>
      <c r="K132" s="1" t="s">
        <v>6</v>
      </c>
      <c r="L132" s="1" t="s">
        <v>7</v>
      </c>
      <c r="M132" s="1" t="s">
        <v>501</v>
      </c>
      <c r="N132" s="1" t="s">
        <v>459</v>
      </c>
      <c r="O132" s="1" t="s">
        <v>544</v>
      </c>
    </row>
    <row r="133" spans="2:16" x14ac:dyDescent="0.4">
      <c r="B133" s="1" t="s">
        <v>561</v>
      </c>
      <c r="C133" s="2" t="s">
        <v>5</v>
      </c>
      <c r="D133" s="2" t="s">
        <v>458</v>
      </c>
      <c r="E133" s="1" t="s">
        <v>560</v>
      </c>
      <c r="F133" s="1" t="str">
        <f>_xlfn.XLOOKUP(表格1[[#This Row],[Dish]],dish_trans!A:A,dish_trans!B:B)</f>
        <v>Scrambled Eggs</v>
      </c>
      <c r="G133" s="1" t="str">
        <f>_xlfn.XLOOKUP(表格1[[#This Row],[Dish]],dish_trans[中文菜名 (Chinese)],dish_trans[菲律賓文翻譯 (Filipino/Tagalog)])</f>
        <v>Binatil na Itlog</v>
      </c>
      <c r="H133" s="1" t="str">
        <f>_xlfn.XLOOKUP(表格1[[#This Row],[Dish]],dish_trans[中文菜名 (Chinese)],dish_trans[印尼文翻譯 (Indonesian)2])</f>
        <v>Telur Orak-arik</v>
      </c>
      <c r="I133" s="1" t="s">
        <v>559</v>
      </c>
      <c r="J133" s="1" t="s">
        <v>7</v>
      </c>
      <c r="K133" s="1" t="s">
        <v>7</v>
      </c>
      <c r="L133" s="1" t="s">
        <v>6</v>
      </c>
      <c r="M133" s="1" t="s">
        <v>473</v>
      </c>
      <c r="N133" s="1" t="s">
        <v>463</v>
      </c>
      <c r="O133" s="1" t="s">
        <v>544</v>
      </c>
    </row>
    <row r="134" spans="2:16" x14ac:dyDescent="0.4">
      <c r="B134" s="1" t="s">
        <v>562</v>
      </c>
      <c r="C134" s="2" t="s">
        <v>5</v>
      </c>
      <c r="D134" s="2" t="s">
        <v>458</v>
      </c>
      <c r="E134" s="1" t="s">
        <v>280</v>
      </c>
      <c r="F134" s="1" t="str">
        <f>_xlfn.XLOOKUP(表格1[[#This Row],[Dish]],dish_trans!A:A,dish_trans!B:B)</f>
        <v>Milk</v>
      </c>
      <c r="G134" s="1" t="str">
        <f>_xlfn.XLOOKUP(表格1[[#This Row],[Dish]],dish_trans[中文菜名 (Chinese)],dish_trans[菲律賓文翻譯 (Filipino/Tagalog)])</f>
        <v>Gatas</v>
      </c>
      <c r="H134" s="1" t="str">
        <f>_xlfn.XLOOKUP(表格1[[#This Row],[Dish]],dish_trans[中文菜名 (Chinese)],dish_trans[印尼文翻譯 (Indonesian)2])</f>
        <v>Susu</v>
      </c>
      <c r="I134" s="1" t="s">
        <v>497</v>
      </c>
      <c r="J134" s="1" t="s">
        <v>7</v>
      </c>
      <c r="K134" s="1" t="s">
        <v>7</v>
      </c>
      <c r="L134" s="1" t="s">
        <v>7</v>
      </c>
      <c r="M134" s="1" t="s">
        <v>563</v>
      </c>
      <c r="N134" s="1" t="s">
        <v>497</v>
      </c>
      <c r="O134" s="1" t="s">
        <v>546</v>
      </c>
    </row>
    <row r="135" spans="2:16" x14ac:dyDescent="0.4">
      <c r="B135" s="1" t="s">
        <v>566</v>
      </c>
      <c r="C135" s="2" t="s">
        <v>5</v>
      </c>
      <c r="D135" s="2" t="s">
        <v>110</v>
      </c>
      <c r="E135" s="1" t="s">
        <v>564</v>
      </c>
      <c r="F135" s="1" t="str">
        <f>_xlfn.XLOOKUP(表格1[[#This Row],[Dish]],dish_trans!A:A,dish_trans!B:B)</f>
        <v>Pan-fried Pork Chops</v>
      </c>
      <c r="G135" s="1" t="str">
        <f>_xlfn.XLOOKUP(表格1[[#This Row],[Dish]],dish_trans[中文菜名 (Chinese)],dish_trans[菲律賓文翻譯 (Filipino/Tagalog)])</f>
        <v>Pinritong Pork Chop</v>
      </c>
      <c r="H135" s="1" t="str">
        <f>_xlfn.XLOOKUP(表格1[[#This Row],[Dish]],dish_trans[中文菜名 (Chinese)],dish_trans[印尼文翻譯 (Indonesian)2])</f>
        <v>Potongan Babi Goreng Wajan</v>
      </c>
      <c r="I135" s="1" t="s">
        <v>559</v>
      </c>
      <c r="J135" s="1" t="s">
        <v>7</v>
      </c>
      <c r="K135" s="1" t="s">
        <v>7</v>
      </c>
      <c r="L135" s="1" t="s">
        <v>7</v>
      </c>
      <c r="M135" s="1" t="s">
        <v>461</v>
      </c>
      <c r="N135" s="1" t="s">
        <v>459</v>
      </c>
      <c r="O135" s="1" t="s">
        <v>544</v>
      </c>
    </row>
    <row r="136" spans="2:16" x14ac:dyDescent="0.4">
      <c r="B136" s="1" t="s">
        <v>567</v>
      </c>
      <c r="C136" s="2" t="s">
        <v>5</v>
      </c>
      <c r="D136" s="2" t="s">
        <v>110</v>
      </c>
      <c r="E136" s="1" t="s">
        <v>565</v>
      </c>
      <c r="F136" s="1" t="str">
        <f>_xlfn.XLOOKUP(表格1[[#This Row],[Dish]],dish_trans!A:A,dish_trans!B:B)</f>
        <v>Pan-fried Chicken Steak</v>
      </c>
      <c r="G136" s="1" t="str">
        <f>_xlfn.XLOOKUP(表格1[[#This Row],[Dish]],dish_trans[中文菜名 (Chinese)],dish_trans[菲律賓文翻譯 (Filipino/Tagalog)])</f>
        <v>Pinritong Chicken Steak</v>
      </c>
      <c r="H136" s="1" t="str">
        <f>_xlfn.XLOOKUP(表格1[[#This Row],[Dish]],dish_trans[中文菜名 (Chinese)],dish_trans[印尼文翻譯 (Indonesian)2])</f>
        <v>Steik Ayam Goreng Wajan</v>
      </c>
      <c r="I136" s="1" t="s">
        <v>559</v>
      </c>
      <c r="J136" s="1" t="s">
        <v>7</v>
      </c>
      <c r="K136" s="1" t="s">
        <v>7</v>
      </c>
      <c r="L136" s="1" t="s">
        <v>7</v>
      </c>
      <c r="M136" s="1" t="s">
        <v>501</v>
      </c>
      <c r="N136" s="1" t="s">
        <v>459</v>
      </c>
      <c r="O136" s="1" t="s">
        <v>544</v>
      </c>
    </row>
    <row r="137" spans="2:16" x14ac:dyDescent="0.4">
      <c r="B137" s="1" t="s">
        <v>573</v>
      </c>
      <c r="C137" s="1" t="s">
        <v>5</v>
      </c>
      <c r="D137" s="1" t="s">
        <v>457</v>
      </c>
      <c r="E137" s="6" t="s">
        <v>569</v>
      </c>
      <c r="F137" s="1" t="str">
        <f>_xlfn.XLOOKUP(表格1[[#This Row],[Dish]],dish_trans!A:A,dish_trans!B:B)</f>
        <v>Cherry Tomatoes</v>
      </c>
      <c r="G137" s="1" t="str">
        <f>_xlfn.XLOOKUP(表格1[[#This Row],[Dish]],dish_trans[中文菜名 (Chinese)],dish_trans[菲律賓文翻譯 (Filipino/Tagalog)])</f>
        <v>Cherry Tomato</v>
      </c>
      <c r="H137" s="1" t="str">
        <f>_xlfn.XLOOKUP(表格1[[#This Row],[Dish]],dish_trans[中文菜名 (Chinese)],dish_trans[印尼文翻譯 (Indonesian)2])</f>
        <v>Tomat Ceri</v>
      </c>
      <c r="I137" s="1" t="s">
        <v>791</v>
      </c>
      <c r="J137" s="1" t="s">
        <v>7</v>
      </c>
      <c r="K137" s="1" t="s">
        <v>7</v>
      </c>
      <c r="L137" s="1" t="s">
        <v>7</v>
      </c>
      <c r="M137" s="1" t="s">
        <v>471</v>
      </c>
      <c r="N137" s="1" t="s">
        <v>463</v>
      </c>
      <c r="O137" s="1" t="s">
        <v>544</v>
      </c>
    </row>
    <row r="138" spans="2:16" x14ac:dyDescent="0.4">
      <c r="B138" s="1" t="s">
        <v>574</v>
      </c>
      <c r="C138" s="1" t="s">
        <v>5</v>
      </c>
      <c r="D138" s="1" t="s">
        <v>457</v>
      </c>
      <c r="E138" s="6" t="s">
        <v>570</v>
      </c>
      <c r="F138" s="1" t="str">
        <f>_xlfn.XLOOKUP(表格1[[#This Row],[Dish]],dish_trans!A:A,dish_trans!B:B)</f>
        <v>Dragon Fruit</v>
      </c>
      <c r="G138" s="1" t="str">
        <f>_xlfn.XLOOKUP(表格1[[#This Row],[Dish]],dish_trans[中文菜名 (Chinese)],dish_trans[菲律賓文翻譯 (Filipino/Tagalog)])</f>
        <v>Dragon Fruit</v>
      </c>
      <c r="H138" s="1" t="str">
        <f>_xlfn.XLOOKUP(表格1[[#This Row],[Dish]],dish_trans[中文菜名 (Chinese)],dish_trans[印尼文翻譯 (Indonesian)2])</f>
        <v>Buah Naga</v>
      </c>
      <c r="I138" s="1" t="s">
        <v>791</v>
      </c>
      <c r="J138" s="1" t="s">
        <v>7</v>
      </c>
      <c r="K138" s="1" t="s">
        <v>7</v>
      </c>
      <c r="L138" s="1" t="s">
        <v>7</v>
      </c>
      <c r="M138" s="1" t="s">
        <v>471</v>
      </c>
      <c r="N138" s="1" t="s">
        <v>463</v>
      </c>
      <c r="O138" s="1" t="s">
        <v>544</v>
      </c>
    </row>
    <row r="139" spans="2:16" x14ac:dyDescent="0.4">
      <c r="B139" s="1" t="s">
        <v>575</v>
      </c>
      <c r="C139" s="1" t="s">
        <v>5</v>
      </c>
      <c r="D139" s="1" t="s">
        <v>457</v>
      </c>
      <c r="E139" s="2" t="s">
        <v>571</v>
      </c>
      <c r="F139" s="1" t="str">
        <f>_xlfn.XLOOKUP(表格1[[#This Row],[Dish]],dish_trans!A:A,dish_trans!B:B)</f>
        <v>Kiwi Fruit</v>
      </c>
      <c r="G139" s="1" t="str">
        <f>_xlfn.XLOOKUP(表格1[[#This Row],[Dish]],dish_trans[中文菜名 (Chinese)],dish_trans[菲律賓文翻譯 (Filipino/Tagalog)])</f>
        <v>Kiwi</v>
      </c>
      <c r="H139" s="1" t="str">
        <f>_xlfn.XLOOKUP(表格1[[#This Row],[Dish]],dish_trans[中文菜名 (Chinese)],dish_trans[印尼文翻譯 (Indonesian)2])</f>
        <v>Buah Kiwi</v>
      </c>
      <c r="I139" s="1" t="s">
        <v>791</v>
      </c>
      <c r="J139" s="1" t="s">
        <v>7</v>
      </c>
      <c r="K139" s="1" t="s">
        <v>7</v>
      </c>
      <c r="L139" s="1" t="s">
        <v>7</v>
      </c>
      <c r="M139" s="1" t="s">
        <v>471</v>
      </c>
      <c r="N139" s="1" t="s">
        <v>463</v>
      </c>
      <c r="O139" s="1" t="s">
        <v>544</v>
      </c>
    </row>
    <row r="140" spans="2:16" x14ac:dyDescent="0.4">
      <c r="B140" s="1" t="s">
        <v>576</v>
      </c>
      <c r="C140" s="1" t="s">
        <v>5</v>
      </c>
      <c r="D140" s="1" t="s">
        <v>457</v>
      </c>
      <c r="E140" s="2" t="s">
        <v>251</v>
      </c>
      <c r="F140" s="1" t="str">
        <f>_xlfn.XLOOKUP(表格1[[#This Row],[Dish]],dish_trans!A:A,dish_trans!B:B)</f>
        <v>Papaya</v>
      </c>
      <c r="G140" s="1" t="str">
        <f>_xlfn.XLOOKUP(表格1[[#This Row],[Dish]],dish_trans[中文菜名 (Chinese)],dish_trans[菲律賓文翻譯 (Filipino/Tagalog)])</f>
        <v>Papaya</v>
      </c>
      <c r="H140" s="1" t="str">
        <f>_xlfn.XLOOKUP(表格1[[#This Row],[Dish]],dish_trans[中文菜名 (Chinese)],dish_trans[印尼文翻譯 (Indonesian)2])</f>
        <v>Pepaya</v>
      </c>
      <c r="I140" s="1" t="s">
        <v>791</v>
      </c>
      <c r="J140" s="1" t="s">
        <v>7</v>
      </c>
      <c r="K140" s="1" t="s">
        <v>7</v>
      </c>
      <c r="L140" s="1" t="s">
        <v>7</v>
      </c>
      <c r="M140" s="1" t="s">
        <v>471</v>
      </c>
      <c r="N140" s="1" t="s">
        <v>463</v>
      </c>
      <c r="O140" s="1" t="s">
        <v>544</v>
      </c>
    </row>
    <row r="141" spans="2:16" x14ac:dyDescent="0.4">
      <c r="B141" s="1" t="s">
        <v>577</v>
      </c>
      <c r="C141" s="1" t="s">
        <v>5</v>
      </c>
      <c r="D141" s="1" t="s">
        <v>457</v>
      </c>
      <c r="E141" s="2" t="s">
        <v>572</v>
      </c>
      <c r="F141" s="1" t="str">
        <f>_xlfn.XLOOKUP(表格1[[#This Row],[Dish]],dish_trans!A:A,dish_trans!B:B)</f>
        <v>Blueberries</v>
      </c>
      <c r="G141" s="1" t="str">
        <f>_xlfn.XLOOKUP(表格1[[#This Row],[Dish]],dish_trans[中文菜名 (Chinese)],dish_trans[菲律賓文翻譯 (Filipino/Tagalog)])</f>
        <v>Blueberry</v>
      </c>
      <c r="H141" s="1" t="str">
        <f>_xlfn.XLOOKUP(表格1[[#This Row],[Dish]],dish_trans[中文菜名 (Chinese)],dish_trans[印尼文翻譯 (Indonesian)2])</f>
        <v>Bluberi</v>
      </c>
      <c r="I141" s="1" t="s">
        <v>791</v>
      </c>
      <c r="J141" s="1" t="s">
        <v>7</v>
      </c>
      <c r="K141" s="1" t="s">
        <v>7</v>
      </c>
      <c r="L141" s="1" t="s">
        <v>7</v>
      </c>
      <c r="M141" s="1" t="s">
        <v>471</v>
      </c>
      <c r="N141" s="1" t="s">
        <v>463</v>
      </c>
      <c r="O141" s="1" t="s">
        <v>544</v>
      </c>
    </row>
    <row r="142" spans="2:16" x14ac:dyDescent="0.4">
      <c r="B142" s="1" t="s">
        <v>579</v>
      </c>
      <c r="C142" s="1" t="s">
        <v>5</v>
      </c>
      <c r="D142" s="1" t="s">
        <v>457</v>
      </c>
      <c r="E142" s="1" t="s">
        <v>578</v>
      </c>
      <c r="F142" s="1" t="str">
        <f>_xlfn.XLOOKUP(表格1[[#This Row],[Dish]],dish_trans!A:A,dish_trans!B:B)</f>
        <v>Water-sautéed Vegetables</v>
      </c>
      <c r="G142" s="1" t="str">
        <f>_xlfn.XLOOKUP(表格1[[#This Row],[Dish]],dish_trans[中文菜名 (Chinese)],dish_trans[菲律賓文翻譯 (Filipino/Tagalog)])</f>
        <v>Gulay na Ginisa sa Tubig</v>
      </c>
      <c r="H142" s="1" t="str">
        <f>_xlfn.XLOOKUP(表格1[[#This Row],[Dish]],dish_trans[中文菜名 (Chinese)],dish_trans[印尼文翻譯 (Indonesian)2])</f>
        <v>Sayuran Tumis Air</v>
      </c>
      <c r="I142" s="1" t="s">
        <v>791</v>
      </c>
      <c r="J142" s="1" t="s">
        <v>7</v>
      </c>
      <c r="K142" s="1" t="s">
        <v>7</v>
      </c>
      <c r="L142" s="1" t="s">
        <v>7</v>
      </c>
      <c r="M142" s="1" t="s">
        <v>471</v>
      </c>
      <c r="N142" s="1" t="s">
        <v>463</v>
      </c>
      <c r="O142" s="1" t="s">
        <v>546</v>
      </c>
    </row>
    <row r="143" spans="2:16" x14ac:dyDescent="0.4">
      <c r="B143" s="1" t="s">
        <v>581</v>
      </c>
      <c r="C143" s="2" t="s">
        <v>5</v>
      </c>
      <c r="D143" s="2" t="s">
        <v>458</v>
      </c>
      <c r="E143" s="1" t="s">
        <v>580</v>
      </c>
      <c r="F143" s="1" t="str">
        <f>_xlfn.XLOOKUP(表格1[[#This Row],[Dish]],dish_trans!A:A,dish_trans!B:B)</f>
        <v>Baked Apple Egg Custard</v>
      </c>
      <c r="G143" s="1" t="str">
        <f>_xlfn.XLOOKUP(表格1[[#This Row],[Dish]],dish_trans[中文菜名 (Chinese)],dish_trans[菲律賓文翻譯 (Filipino/Tagalog)])</f>
        <v>Inihurnong Custard na may Mansanas</v>
      </c>
      <c r="H143" s="1" t="str">
        <f>_xlfn.XLOOKUP(表格1[[#This Row],[Dish]],dish_trans[中文菜名 (Chinese)],dish_trans[印尼文翻譯 (Indonesian)2])</f>
        <v>Kustar Telur Apel Panggang</v>
      </c>
      <c r="I143" s="1" t="s">
        <v>559</v>
      </c>
      <c r="J143" s="1" t="s">
        <v>7</v>
      </c>
      <c r="K143" s="1" t="s">
        <v>7</v>
      </c>
      <c r="L143" s="1" t="s">
        <v>6</v>
      </c>
      <c r="M143" s="1" t="s">
        <v>473</v>
      </c>
      <c r="N143" s="1" t="s">
        <v>459</v>
      </c>
      <c r="O143" s="1" t="s">
        <v>544</v>
      </c>
    </row>
    <row r="144" spans="2:16" x14ac:dyDescent="0.4">
      <c r="B144" s="1" t="s">
        <v>583</v>
      </c>
      <c r="C144" s="2" t="s">
        <v>5</v>
      </c>
      <c r="D144" s="1" t="s">
        <v>457</v>
      </c>
      <c r="E144" s="1" t="s">
        <v>582</v>
      </c>
      <c r="F144" s="1" t="str">
        <f>_xlfn.XLOOKUP(表格1[[#This Row],[Dish]],dish_trans!A:A,dish_trans!B:B)</f>
        <v>Fruit Toast Rolls</v>
      </c>
      <c r="G144" s="1" t="str">
        <f>_xlfn.XLOOKUP(表格1[[#This Row],[Dish]],dish_trans[中文菜名 (Chinese)],dish_trans[菲律賓文翻譯 (Filipino/Tagalog)])</f>
        <v>Rolyo ng Toast na may Prutas</v>
      </c>
      <c r="H144" s="1" t="str">
        <f>_xlfn.XLOOKUP(表格1[[#This Row],[Dish]],dish_trans[中文菜名 (Chinese)],dish_trans[印尼文翻譯 (Indonesian)2])</f>
        <v>Gulungan Roti Panggang Isi Buah</v>
      </c>
      <c r="I144" s="1" t="s">
        <v>548</v>
      </c>
      <c r="J144" s="1" t="s">
        <v>7</v>
      </c>
      <c r="K144" s="1" t="s">
        <v>7</v>
      </c>
      <c r="L144" s="1" t="s">
        <v>6</v>
      </c>
      <c r="M144" s="1" t="s">
        <v>471</v>
      </c>
      <c r="N144" s="1" t="s">
        <v>536</v>
      </c>
      <c r="O144" s="1" t="s">
        <v>544</v>
      </c>
    </row>
    <row r="145" spans="2:17" x14ac:dyDescent="0.4">
      <c r="B145" s="1" t="s">
        <v>585</v>
      </c>
      <c r="C145" s="2" t="s">
        <v>5</v>
      </c>
      <c r="D145" s="2" t="s">
        <v>110</v>
      </c>
      <c r="E145" s="1" t="s">
        <v>584</v>
      </c>
      <c r="F145" s="1" t="str">
        <f>_xlfn.XLOOKUP(表格1[[#This Row],[Dish]],dish_trans!A:A,dish_trans!B:B)</f>
        <v>Boiled Shelled Shrimp</v>
      </c>
      <c r="G145" s="1" t="str">
        <f>_xlfn.XLOOKUP(表格1[[#This Row],[Dish]],dish_trans[中文菜名 (Chinese)],dish_trans[菲律賓文翻譯 (Filipino/Tagalog)])</f>
        <v>Nilagang Binalatang Hipon</v>
      </c>
      <c r="H145" s="1" t="str">
        <f>_xlfn.XLOOKUP(表格1[[#This Row],[Dish]],dish_trans[中文菜名 (Chinese)],dish_trans[印尼文翻譯 (Indonesian)2])</f>
        <v>Udang Kupas Rebus</v>
      </c>
      <c r="I145" s="1" t="s">
        <v>559</v>
      </c>
      <c r="J145" s="1" t="s">
        <v>7</v>
      </c>
      <c r="K145" s="1" t="s">
        <v>7</v>
      </c>
      <c r="L145" s="1" t="s">
        <v>6</v>
      </c>
      <c r="M145" s="1" t="s">
        <v>469</v>
      </c>
      <c r="N145" s="1" t="s">
        <v>459</v>
      </c>
      <c r="O145" s="1" t="s">
        <v>546</v>
      </c>
    </row>
    <row r="146" spans="2:17" x14ac:dyDescent="0.4">
      <c r="B146" s="1" t="s">
        <v>587</v>
      </c>
      <c r="C146" s="2" t="s">
        <v>5</v>
      </c>
      <c r="D146" s="2" t="s">
        <v>458</v>
      </c>
      <c r="E146" s="1" t="s">
        <v>586</v>
      </c>
      <c r="F146" s="1" t="str">
        <f>_xlfn.XLOOKUP(表格1[[#This Row],[Dish]],dish_trans!A:A,dish_trans!B:B)</f>
        <v>Waffle</v>
      </c>
      <c r="G146" s="1" t="str">
        <f>_xlfn.XLOOKUP(表格1[[#This Row],[Dish]],dish_trans[中文菜名 (Chinese)],dish_trans[菲律賓文翻譯 (Filipino/Tagalog)])</f>
        <v>Waffle</v>
      </c>
      <c r="H146" s="1" t="str">
        <f>_xlfn.XLOOKUP(表格1[[#This Row],[Dish]],dish_trans[中文菜名 (Chinese)],dish_trans[印尼文翻譯 (Indonesian)2])</f>
        <v>Wafel</v>
      </c>
      <c r="I146" s="1" t="s">
        <v>556</v>
      </c>
      <c r="J146" s="1" t="s">
        <v>7</v>
      </c>
      <c r="K146" s="1" t="s">
        <v>7</v>
      </c>
      <c r="L146" s="1" t="s">
        <v>6</v>
      </c>
      <c r="M146" s="1" t="s">
        <v>473</v>
      </c>
      <c r="N146" s="1" t="s">
        <v>485</v>
      </c>
      <c r="O146" s="1" t="s">
        <v>546</v>
      </c>
    </row>
    <row r="147" spans="2:17" x14ac:dyDescent="0.4">
      <c r="B147" s="1" t="s">
        <v>591</v>
      </c>
      <c r="C147" s="2" t="s">
        <v>5</v>
      </c>
      <c r="D147" s="2" t="s">
        <v>110</v>
      </c>
      <c r="E147" s="1" t="s">
        <v>588</v>
      </c>
      <c r="F147" s="1" t="str">
        <f>_xlfn.XLOOKUP(表格1[[#This Row],[Dish]],dish_trans!A:A,dish_trans!B:B)</f>
        <v>Boiled Chicken Breast Strips</v>
      </c>
      <c r="G147" s="1" t="str">
        <f>_xlfn.XLOOKUP(表格1[[#This Row],[Dish]],dish_trans[中文菜名 (Chinese)],dish_trans[菲律賓文翻譯 (Filipino/Tagalog)])</f>
        <v>Nilagang Piraso ng Dibdib ng Manok</v>
      </c>
      <c r="H147" s="1" t="str">
        <f>_xlfn.XLOOKUP(表格1[[#This Row],[Dish]],dish_trans[中文菜名 (Chinese)],dish_trans[印尼文翻譯 (Indonesian)2])</f>
        <v>Irisan Dada Ayam Rebus</v>
      </c>
      <c r="I147" s="1" t="s">
        <v>559</v>
      </c>
      <c r="J147" s="1" t="s">
        <v>7</v>
      </c>
      <c r="K147" s="1" t="s">
        <v>7</v>
      </c>
      <c r="L147" s="1" t="s">
        <v>7</v>
      </c>
      <c r="M147" s="1" t="s">
        <v>501</v>
      </c>
      <c r="N147" s="1" t="s">
        <v>459</v>
      </c>
      <c r="O147" s="1" t="s">
        <v>546</v>
      </c>
    </row>
    <row r="148" spans="2:17" x14ac:dyDescent="0.4">
      <c r="B148" s="1" t="s">
        <v>592</v>
      </c>
      <c r="C148" s="2" t="s">
        <v>475</v>
      </c>
      <c r="D148" s="2" t="s">
        <v>110</v>
      </c>
      <c r="E148" s="6" t="s">
        <v>589</v>
      </c>
      <c r="F148" s="1" t="str">
        <f>_xlfn.XLOOKUP(表格1[[#This Row],[Dish]],dish_trans!A:A,dish_trans!B:B)</f>
        <v>Claypot Beef Rice with an Egg</v>
      </c>
      <c r="G148" s="1" t="str">
        <f>_xlfn.XLOOKUP(表格1[[#This Row],[Dish]],dish_trans[中文菜名 (Chinese)],dish_trans[菲律賓文翻譯 (Filipino/Tagalog)])</f>
        <v>Kanin sa Palayok na may Baka at Itlog</v>
      </c>
      <c r="H148" s="1" t="str">
        <f>_xlfn.XLOOKUP(表格1[[#This Row],[Dish]],dish_trans[中文菜名 (Chinese)],dish_trans[印尼文翻譯 (Indonesian)2])</f>
        <v>Nasi Panci Tanah Liat dengan Sapi dan Telur</v>
      </c>
      <c r="I148" s="1" t="s">
        <v>548</v>
      </c>
      <c r="J148" s="1" t="s">
        <v>7</v>
      </c>
      <c r="K148" s="1" t="s">
        <v>6</v>
      </c>
      <c r="L148" s="1" t="s">
        <v>7</v>
      </c>
      <c r="M148" s="1" t="s">
        <v>590</v>
      </c>
      <c r="N148" s="1" t="s">
        <v>534</v>
      </c>
      <c r="O148" s="1" t="s">
        <v>542</v>
      </c>
      <c r="Q148" s="2" t="s">
        <v>116</v>
      </c>
    </row>
    <row r="149" spans="2:17" x14ac:dyDescent="0.4">
      <c r="B149" s="1" t="s">
        <v>595</v>
      </c>
      <c r="C149" s="2" t="s">
        <v>475</v>
      </c>
      <c r="D149" s="1" t="s">
        <v>457</v>
      </c>
      <c r="E149" s="1" t="s">
        <v>593</v>
      </c>
      <c r="F149" s="1" t="str">
        <f>_xlfn.XLOOKUP(表格1[[#This Row],[Dish]],dish_trans!A:A,dish_trans!B:B)</f>
        <v>Pan-fried Tofu</v>
      </c>
      <c r="G149" s="1" t="str">
        <f>_xlfn.XLOOKUP(表格1[[#This Row],[Dish]],dish_trans[中文菜名 (Chinese)],dish_trans[菲律賓文翻譯 (Filipino/Tagalog)])</f>
        <v>Pinritong Tokwa</v>
      </c>
      <c r="H149" s="1" t="str">
        <f>_xlfn.XLOOKUP(表格1[[#This Row],[Dish]],dish_trans[中文菜名 (Chinese)],dish_trans[印尼文翻譯 (Indonesian)2])</f>
        <v>Tahu Goreng Wajan</v>
      </c>
      <c r="I149" s="1" t="s">
        <v>548</v>
      </c>
      <c r="J149" s="1" t="s">
        <v>6</v>
      </c>
      <c r="K149" s="1" t="s">
        <v>6</v>
      </c>
      <c r="L149" s="1" t="s">
        <v>7</v>
      </c>
      <c r="M149" s="1" t="s">
        <v>484</v>
      </c>
      <c r="N149" s="1" t="s">
        <v>463</v>
      </c>
      <c r="O149" s="1" t="s">
        <v>546</v>
      </c>
      <c r="P149" s="1">
        <v>2</v>
      </c>
    </row>
    <row r="150" spans="2:17" x14ac:dyDescent="0.4">
      <c r="B150" s="1" t="s">
        <v>596</v>
      </c>
      <c r="C150" s="2" t="s">
        <v>475</v>
      </c>
      <c r="D150" s="1" t="s">
        <v>457</v>
      </c>
      <c r="E150" s="1" t="s">
        <v>594</v>
      </c>
      <c r="F150" s="1" t="str">
        <f>_xlfn.XLOOKUP(表格1[[#This Row],[Dish]],dish_trans!A:A,dish_trans!B:B)</f>
        <v>Enoki Mushrooms Cooked in a Paper Parcel</v>
      </c>
      <c r="G150" s="1" t="str">
        <f>_xlfn.XLOOKUP(表格1[[#This Row],[Dish]],dish_trans[中文菜名 (Chinese)],dish_trans[菲律賓文翻譯 (Filipino/Tagalog)])</f>
        <v>Kabuteng Enoki na Niluto sa Balot na Papel</v>
      </c>
      <c r="H150" s="1" t="str">
        <f>_xlfn.XLOOKUP(表格1[[#This Row],[Dish]],dish_trans[中文菜名 (Chinese)],dish_trans[印尼文翻譯 (Indonesian)2])</f>
        <v>Jamur Enoki Masak Bungkus Kertas</v>
      </c>
      <c r="I150" s="1" t="s">
        <v>548</v>
      </c>
      <c r="J150" s="1" t="s">
        <v>6</v>
      </c>
      <c r="K150" s="1" t="s">
        <v>6</v>
      </c>
      <c r="L150" s="1" t="s">
        <v>7</v>
      </c>
      <c r="M150" s="1" t="s">
        <v>471</v>
      </c>
      <c r="N150" s="1" t="s">
        <v>463</v>
      </c>
      <c r="O150" s="1" t="s">
        <v>544</v>
      </c>
    </row>
    <row r="151" spans="2:17" x14ac:dyDescent="0.4">
      <c r="B151" s="1" t="s">
        <v>605</v>
      </c>
      <c r="C151" s="2" t="s">
        <v>475</v>
      </c>
      <c r="D151" s="1" t="s">
        <v>457</v>
      </c>
      <c r="E151" s="1" t="s">
        <v>597</v>
      </c>
      <c r="F151" s="1" t="str">
        <f>_xlfn.XLOOKUP(表格1[[#This Row],[Dish]],dish_trans!A:A,dish_trans!B:B)</f>
        <v>Sweet Potato and Ginger Sweet Soup</v>
      </c>
      <c r="G151" s="1" t="str">
        <f>_xlfn.XLOOKUP(表格1[[#This Row],[Dish]],dish_trans[中文菜名 (Chinese)],dish_trans[菲律賓文翻譯 (Filipino/Tagalog)])</f>
        <v>Matamis na Sabaw ng Kamote at Luya</v>
      </c>
      <c r="H151" s="1" t="str">
        <f>_xlfn.XLOOKUP(表格1[[#This Row],[Dish]],dish_trans[中文菜名 (Chinese)],dish_trans[印尼文翻譯 (Indonesian)2])</f>
        <v>Sup Manis Ubi Jalar dan Jahe</v>
      </c>
      <c r="I151" s="1" t="s">
        <v>548</v>
      </c>
      <c r="J151" s="1" t="s">
        <v>7</v>
      </c>
      <c r="K151" s="1" t="s">
        <v>7</v>
      </c>
      <c r="L151" s="1" t="s">
        <v>6</v>
      </c>
      <c r="M151" s="1" t="s">
        <v>471</v>
      </c>
      <c r="N151" s="1" t="s">
        <v>462</v>
      </c>
      <c r="O151" s="1" t="s">
        <v>544</v>
      </c>
    </row>
    <row r="152" spans="2:17" x14ac:dyDescent="0.4">
      <c r="B152" s="1" t="s">
        <v>606</v>
      </c>
      <c r="C152" s="2" t="s">
        <v>475</v>
      </c>
      <c r="D152" s="1" t="s">
        <v>457</v>
      </c>
      <c r="E152" s="1" t="s">
        <v>598</v>
      </c>
      <c r="F152" s="1" t="str">
        <f>_xlfn.XLOOKUP(表格1[[#This Row],[Dish]],dish_trans!A:A,dish_trans!B:B)</f>
        <v>Mango Pomelo Sago Dessert</v>
      </c>
      <c r="G152" s="1" t="str">
        <f>_xlfn.XLOOKUP(表格1[[#This Row],[Dish]],dish_trans[中文菜名 (Chinese)],dish_trans[菲律賓文翻譯 (Filipino/Tagalog)])</f>
        <v>Panghimagas na Mangga, Suha at Sago</v>
      </c>
      <c r="H152" s="1" t="str">
        <f>_xlfn.XLOOKUP(表格1[[#This Row],[Dish]],dish_trans[中文菜名 (Chinese)],dish_trans[印尼文翻譯 (Indonesian)2])</f>
        <v>Hidangan Penutup Mangga, Jeruk Bali dan Sagu</v>
      </c>
      <c r="I152" s="1" t="s">
        <v>548</v>
      </c>
      <c r="J152" s="1" t="s">
        <v>7</v>
      </c>
      <c r="K152" s="1" t="s">
        <v>7</v>
      </c>
      <c r="L152" s="1" t="s">
        <v>6</v>
      </c>
      <c r="M152" s="1" t="s">
        <v>471</v>
      </c>
      <c r="N152" s="1" t="s">
        <v>462</v>
      </c>
      <c r="O152" s="1" t="s">
        <v>544</v>
      </c>
    </row>
    <row r="153" spans="2:17" x14ac:dyDescent="0.4">
      <c r="B153" s="1" t="s">
        <v>607</v>
      </c>
      <c r="C153" s="2" t="s">
        <v>475</v>
      </c>
      <c r="D153" s="1" t="s">
        <v>457</v>
      </c>
      <c r="E153" s="1" t="s">
        <v>599</v>
      </c>
      <c r="F153" s="1" t="str">
        <f>_xlfn.XLOOKUP(表格1[[#This Row],[Dish]],dish_trans!A:A,dish_trans!B:B)</f>
        <v>Stir-fried Rice Vermicelli with Three Shredded Ingredients</v>
      </c>
      <c r="G153" s="1" t="str">
        <f>_xlfn.XLOOKUP(表格1[[#This Row],[Dish]],dish_trans[中文菜名 (Chinese)],dish_trans[菲律賓文翻譯 (Filipino/Tagalog)])</f>
        <v>Ginisang Bihon na may Tatlong Uri ng Hiniwang Sangkap</v>
      </c>
      <c r="H153" s="1" t="str">
        <f>_xlfn.XLOOKUP(表格1[[#This Row],[Dish]],dish_trans[中文菜名 (Chinese)],dish_trans[印尼文翻譯 (Indonesian)2])</f>
        <v>Bihun Goreng dengan Tiga Bahan Iris</v>
      </c>
      <c r="I153" s="1" t="s">
        <v>548</v>
      </c>
      <c r="J153" s="1" t="s">
        <v>6</v>
      </c>
      <c r="K153" s="1" t="s">
        <v>6</v>
      </c>
      <c r="L153" s="1" t="s">
        <v>7</v>
      </c>
      <c r="M153" s="1" t="s">
        <v>471</v>
      </c>
      <c r="N153" s="1" t="s">
        <v>534</v>
      </c>
      <c r="O153" s="1" t="s">
        <v>544</v>
      </c>
    </row>
    <row r="154" spans="2:17" x14ac:dyDescent="0.4">
      <c r="B154" s="1" t="s">
        <v>608</v>
      </c>
      <c r="C154" s="2" t="s">
        <v>475</v>
      </c>
      <c r="D154" s="1" t="s">
        <v>457</v>
      </c>
      <c r="E154" s="1" t="s">
        <v>600</v>
      </c>
      <c r="F154" s="1" t="str">
        <f>_xlfn.XLOOKUP(表格1[[#This Row],[Dish]],dish_trans!A:A,dish_trans!B:B)</f>
        <v>Wellness Lion's Mane Mushroom Soup</v>
      </c>
      <c r="G154" s="1" t="str">
        <f>_xlfn.XLOOKUP(表格1[[#This Row],[Dish]],dish_trans[中文菜名 (Chinese)],dish_trans[菲律賓文翻譯 (Filipino/Tagalog)])</f>
        <v>Sabaw na Pampalusog na may Kabuteng Lion's Mane</v>
      </c>
      <c r="H154" s="1" t="str">
        <f>_xlfn.XLOOKUP(表格1[[#This Row],[Dish]],dish_trans[中文菜名 (Chinese)],dish_trans[印尼文翻譯 (Indonesian)2])</f>
        <v>Sup Kesehatan Jamur Surai Singa</v>
      </c>
      <c r="I154" s="1" t="s">
        <v>548</v>
      </c>
      <c r="J154" s="1" t="s">
        <v>6</v>
      </c>
      <c r="K154" s="1" t="s">
        <v>6</v>
      </c>
      <c r="L154" s="1" t="s">
        <v>7</v>
      </c>
      <c r="M154" s="1" t="s">
        <v>471</v>
      </c>
      <c r="N154" s="1" t="s">
        <v>510</v>
      </c>
      <c r="O154" s="1" t="s">
        <v>544</v>
      </c>
    </row>
    <row r="155" spans="2:17" x14ac:dyDescent="0.4">
      <c r="B155" s="1" t="s">
        <v>609</v>
      </c>
      <c r="C155" s="2" t="s">
        <v>34</v>
      </c>
      <c r="D155" s="1" t="s">
        <v>457</v>
      </c>
      <c r="E155" s="1" t="s">
        <v>601</v>
      </c>
      <c r="F155" s="1" t="str">
        <f>_xlfn.XLOOKUP(表格1[[#This Row],[Dish]],dish_trans!A:A,dish_trans!B:B)</f>
        <v>Spicy Cabbage and Tofu Soup</v>
      </c>
      <c r="G155" s="1" t="str">
        <f>_xlfn.XLOOKUP(表格1[[#This Row],[Dish]],dish_trans[中文菜名 (Chinese)],dish_trans[菲律賓文翻譯 (Filipino/Tagalog)])</f>
        <v>Sabaw ng Maanghang na Repolyo at Tokwa</v>
      </c>
      <c r="H155" s="1" t="str">
        <f>_xlfn.XLOOKUP(表格1[[#This Row],[Dish]],dish_trans[中文菜名 (Chinese)],dish_trans[印尼文翻譯 (Indonesian)2])</f>
        <v>Sup Sawi Pedas dan Tahu</v>
      </c>
      <c r="I155" s="1" t="s">
        <v>548</v>
      </c>
      <c r="J155" s="1" t="s">
        <v>6</v>
      </c>
      <c r="K155" s="1" t="s">
        <v>6</v>
      </c>
      <c r="L155" s="1" t="s">
        <v>7</v>
      </c>
      <c r="M155" s="1" t="s">
        <v>471</v>
      </c>
      <c r="N155" s="1" t="s">
        <v>510</v>
      </c>
      <c r="O155" s="1" t="s">
        <v>542</v>
      </c>
    </row>
    <row r="156" spans="2:17" x14ac:dyDescent="0.4">
      <c r="B156" s="1" t="s">
        <v>610</v>
      </c>
      <c r="C156" s="2" t="s">
        <v>475</v>
      </c>
      <c r="D156" s="1" t="s">
        <v>457</v>
      </c>
      <c r="E156" s="1" t="s">
        <v>602</v>
      </c>
      <c r="F156" s="1" t="str">
        <f>_xlfn.XLOOKUP(表格1[[#This Row],[Dish]],dish_trans!A:A,dish_trans!B:B)</f>
        <v>Chayote, Tea Tree Mushroom, Chinese Yam and Cashew Soup</v>
      </c>
      <c r="G156" s="1" t="str">
        <f>_xlfn.XLOOKUP(表格1[[#This Row],[Dish]],dish_trans[中文菜名 (Chinese)],dish_trans[菲律賓文翻譯 (Filipino/Tagalog)])</f>
        <v>Sabaw ng Sayote, Kabuteng Tea Tree, Chinese Yam at Kasoy</v>
      </c>
      <c r="H156" s="1" t="str">
        <f>_xlfn.XLOOKUP(表格1[[#This Row],[Dish]],dish_trans[中文菜名 (Chinese)],dish_trans[印尼文翻譯 (Indonesian)2])</f>
        <v>Sup Labu Siam, Jamur Tea Tree, Ubi Cina dan Kacang Mete</v>
      </c>
      <c r="I156" s="1" t="s">
        <v>548</v>
      </c>
      <c r="J156" s="1" t="s">
        <v>6</v>
      </c>
      <c r="K156" s="1" t="s">
        <v>6</v>
      </c>
      <c r="L156" s="1" t="s">
        <v>7</v>
      </c>
      <c r="M156" s="1" t="s">
        <v>471</v>
      </c>
      <c r="N156" s="1" t="s">
        <v>510</v>
      </c>
      <c r="O156" s="1" t="s">
        <v>544</v>
      </c>
    </row>
    <row r="157" spans="2:17" x14ac:dyDescent="0.4">
      <c r="B157" s="1" t="s">
        <v>611</v>
      </c>
      <c r="C157" s="2" t="s">
        <v>475</v>
      </c>
      <c r="D157" s="1" t="s">
        <v>457</v>
      </c>
      <c r="E157" s="1" t="s">
        <v>603</v>
      </c>
      <c r="F157" s="1" t="str">
        <f>_xlfn.XLOOKUP(表格1[[#This Row],[Dish]],dish_trans!A:A,dish_trans!B:B)</f>
        <v>Vegetarian Hot and Sour Soup</v>
      </c>
      <c r="G157" s="1" t="str">
        <f>_xlfn.XLOOKUP(表格1[[#This Row],[Dish]],dish_trans[中文菜名 (Chinese)],dish_trans[菲律賓文翻譯 (Filipino/Tagalog)])</f>
        <v>Vegetarian na Maasim at Maanghang na Sabaw</v>
      </c>
      <c r="H157" s="1" t="str">
        <f>_xlfn.XLOOKUP(表格1[[#This Row],[Dish]],dish_trans[中文菜名 (Chinese)],dish_trans[印尼文翻譯 (Indonesian)2])</f>
        <v>Sup Asam Pedas Vegetarian</v>
      </c>
      <c r="I157" s="1" t="s">
        <v>548</v>
      </c>
      <c r="J157" s="1" t="s">
        <v>6</v>
      </c>
      <c r="K157" s="1" t="s">
        <v>6</v>
      </c>
      <c r="L157" s="1" t="s">
        <v>7</v>
      </c>
      <c r="M157" s="1" t="s">
        <v>471</v>
      </c>
      <c r="N157" s="1" t="s">
        <v>510</v>
      </c>
      <c r="O157" s="1" t="s">
        <v>542</v>
      </c>
    </row>
    <row r="158" spans="2:17" x14ac:dyDescent="0.4">
      <c r="B158" s="1" t="s">
        <v>612</v>
      </c>
      <c r="C158" s="2" t="s">
        <v>475</v>
      </c>
      <c r="D158" s="1" t="s">
        <v>457</v>
      </c>
      <c r="E158" s="1" t="s">
        <v>604</v>
      </c>
      <c r="F158" s="1" t="str">
        <f>_xlfn.XLOOKUP(表格1[[#This Row],[Dish]],dish_trans!A:A,dish_trans!B:B)</f>
        <v>Pipa-shaped Tofu</v>
      </c>
      <c r="G158" s="1" t="str">
        <f>_xlfn.XLOOKUP(表格1[[#This Row],[Dish]],dish_trans[中文菜名 (Chinese)],dish_trans[菲律賓文翻譯 (Filipino/Tagalog)])</f>
        <v>Tokwang Hugis Pipa</v>
      </c>
      <c r="H158" s="1" t="str">
        <f>_xlfn.XLOOKUP(表格1[[#This Row],[Dish]],dish_trans[中文菜名 (Chinese)],dish_trans[印尼文翻譯 (Indonesian)2])</f>
        <v>Tahu Bentuk Pipa</v>
      </c>
      <c r="I158" s="1" t="s">
        <v>548</v>
      </c>
      <c r="J158" s="1" t="s">
        <v>6</v>
      </c>
      <c r="K158" s="1" t="s">
        <v>6</v>
      </c>
      <c r="L158" s="1" t="s">
        <v>7</v>
      </c>
      <c r="M158" s="1" t="s">
        <v>471</v>
      </c>
      <c r="N158" s="1" t="s">
        <v>463</v>
      </c>
      <c r="O158" s="1" t="s">
        <v>544</v>
      </c>
    </row>
    <row r="159" spans="2:17" x14ac:dyDescent="0.4">
      <c r="B159" s="1" t="s">
        <v>617</v>
      </c>
      <c r="C159" s="2" t="s">
        <v>475</v>
      </c>
      <c r="D159" s="1" t="s">
        <v>457</v>
      </c>
      <c r="E159" s="1" t="s">
        <v>613</v>
      </c>
      <c r="F159" s="1" t="str">
        <f>_xlfn.XLOOKUP(表格1[[#This Row],[Dish]],dish_trans!A:A,dish_trans!B:B)</f>
        <v>Vegetarian Pork Belly with Preserved Mustard Greens</v>
      </c>
      <c r="G159" s="1" t="str">
        <f>_xlfn.XLOOKUP(表格1[[#This Row],[Dish]],dish_trans[中文菜名 (Chinese)],dish_trans[菲律賓文翻譯 (Filipino/Tagalog)])</f>
        <v>Vegetarian na Liempo na may Inasnan na Mustasa</v>
      </c>
      <c r="H159" s="1" t="str">
        <f>_xlfn.XLOOKUP(表格1[[#This Row],[Dish]],dish_trans[中文菜名 (Chinese)],dish_trans[印尼文翻譯 (Indonesian)2])</f>
        <v>Samcan Vegetarian dengan Sawi Asin</v>
      </c>
      <c r="I159" s="1" t="s">
        <v>548</v>
      </c>
      <c r="J159" s="1" t="s">
        <v>6</v>
      </c>
      <c r="K159" s="1" t="s">
        <v>6</v>
      </c>
      <c r="L159" s="1" t="s">
        <v>7</v>
      </c>
      <c r="M159" s="1" t="s">
        <v>471</v>
      </c>
      <c r="N159" s="1" t="s">
        <v>459</v>
      </c>
      <c r="O159" s="1" t="s">
        <v>542</v>
      </c>
    </row>
    <row r="160" spans="2:17" x14ac:dyDescent="0.4">
      <c r="B160" s="1" t="s">
        <v>618</v>
      </c>
      <c r="C160" s="2" t="s">
        <v>475</v>
      </c>
      <c r="D160" s="1" t="s">
        <v>457</v>
      </c>
      <c r="E160" s="1" t="s">
        <v>614</v>
      </c>
      <c r="F160" s="1" t="str">
        <f>_xlfn.XLOOKUP(表格1[[#This Row],[Dish]],dish_trans!A:A,dish_trans!B:B)</f>
        <v>Hakka Steamed Stuffed Bitter Melon</v>
      </c>
      <c r="G160" s="1" t="str">
        <f>_xlfn.XLOOKUP(表格1[[#This Row],[Dish]],dish_trans[中文菜名 (Chinese)],dish_trans[菲律賓文翻譯 (Filipino/Tagalog)])</f>
        <v>Pinasingawang Pinalamanang Ampalaya na Estilong Hakka</v>
      </c>
      <c r="H160" s="1" t="str">
        <f>_xlfn.XLOOKUP(表格1[[#This Row],[Dish]],dish_trans[中文菜名 (Chinese)],dish_trans[印尼文翻譯 (Indonesian)2])</f>
        <v>Pare Isi Kukus ala Hakka</v>
      </c>
      <c r="I160" s="1" t="s">
        <v>548</v>
      </c>
      <c r="J160" s="1" t="s">
        <v>6</v>
      </c>
      <c r="K160" s="1" t="s">
        <v>6</v>
      </c>
      <c r="L160" s="1" t="s">
        <v>7</v>
      </c>
      <c r="M160" s="1" t="s">
        <v>471</v>
      </c>
      <c r="N160" s="1" t="s">
        <v>459</v>
      </c>
      <c r="O160" s="1" t="s">
        <v>544</v>
      </c>
    </row>
    <row r="161" spans="2:17" x14ac:dyDescent="0.4">
      <c r="B161" s="1" t="s">
        <v>619</v>
      </c>
      <c r="C161" s="2" t="s">
        <v>108</v>
      </c>
      <c r="D161" s="1" t="s">
        <v>457</v>
      </c>
      <c r="E161" s="2" t="s">
        <v>615</v>
      </c>
      <c r="F161" s="1" t="str">
        <f>_xlfn.XLOOKUP(表格1[[#This Row],[Dish]],dish_trans!A:A,dish_trans!B:B)</f>
        <v>Vietnamese Hot and Sour Tofu and Mixed Vegetable Soup</v>
      </c>
      <c r="G161" s="1" t="str">
        <f>_xlfn.XLOOKUP(表格1[[#This Row],[Dish]],dish_trans[中文菜名 (Chinese)],dish_trans[菲律賓文翻譯 (Filipino/Tagalog)])</f>
        <v>Vietnamese na Maasim at Maanghang na Sabaw ng Tokwa at Gulay</v>
      </c>
      <c r="H161" s="1" t="str">
        <f>_xlfn.XLOOKUP(表格1[[#This Row],[Dish]],dish_trans[中文菜名 (Chinese)],dish_trans[印尼文翻譯 (Indonesian)2])</f>
        <v>Sup Asam Pedas Tahu dan Sayuran Campur ala Vietnam</v>
      </c>
      <c r="I161" s="1" t="s">
        <v>548</v>
      </c>
      <c r="J161" s="1" t="s">
        <v>6</v>
      </c>
      <c r="K161" s="1" t="s">
        <v>6</v>
      </c>
      <c r="L161" s="1" t="s">
        <v>7</v>
      </c>
      <c r="M161" s="1" t="s">
        <v>484</v>
      </c>
      <c r="N161" s="1" t="s">
        <v>510</v>
      </c>
      <c r="O161" s="1" t="s">
        <v>542</v>
      </c>
    </row>
    <row r="162" spans="2:17" x14ac:dyDescent="0.4">
      <c r="B162" s="1" t="s">
        <v>620</v>
      </c>
      <c r="C162" s="2" t="s">
        <v>108</v>
      </c>
      <c r="D162" s="1" t="s">
        <v>457</v>
      </c>
      <c r="E162" s="1" t="s">
        <v>616</v>
      </c>
      <c r="F162" s="1" t="str">
        <f>_xlfn.XLOOKUP(表格1[[#This Row],[Dish]],dish_trans!A:A,dish_trans!B:B)</f>
        <v>Ya Che Kuai (Vietnamese Salad)</v>
      </c>
      <c r="G162" s="1" t="str">
        <f>_xlfn.XLOOKUP(表格1[[#This Row],[Dish]],dish_trans[中文菜名 (Chinese)],dish_trans[菲律賓文翻譯 (Filipino/Tagalog)])</f>
        <v>Ya Che Kuai (Vietnamese na Salad)</v>
      </c>
      <c r="H162" s="1" t="str">
        <f>_xlfn.XLOOKUP(表格1[[#This Row],[Dish]],dish_trans[中文菜名 (Chinese)],dish_trans[印尼文翻譯 (Indonesian)2])</f>
        <v>Ya Che Kuai (Salad Vietnam)</v>
      </c>
      <c r="I162" s="1" t="s">
        <v>548</v>
      </c>
      <c r="J162" s="1" t="s">
        <v>6</v>
      </c>
      <c r="K162" s="1" t="s">
        <v>6</v>
      </c>
      <c r="L162" s="1" t="s">
        <v>7</v>
      </c>
      <c r="M162" s="1" t="s">
        <v>471</v>
      </c>
      <c r="N162" s="1" t="s">
        <v>463</v>
      </c>
      <c r="O162" s="1" t="s">
        <v>544</v>
      </c>
    </row>
    <row r="163" spans="2:17" x14ac:dyDescent="0.4">
      <c r="B163" s="1" t="s">
        <v>622</v>
      </c>
      <c r="C163" s="2" t="s">
        <v>26</v>
      </c>
      <c r="D163" s="2" t="s">
        <v>110</v>
      </c>
      <c r="E163" s="1" t="s">
        <v>621</v>
      </c>
      <c r="F163" s="1" t="str">
        <f>_xlfn.XLOOKUP(表格1[[#This Row],[Dish]],dish_trans!A:A,dish_trans!B:B)</f>
        <v>Potato Miso Soup</v>
      </c>
      <c r="G163" s="1" t="str">
        <f>_xlfn.XLOOKUP(表格1[[#This Row],[Dish]],dish_trans[中文菜名 (Chinese)],dish_trans[菲律賓文翻譯 (Filipino/Tagalog)])</f>
        <v>Sabaw na Miso na may Patatas</v>
      </c>
      <c r="H163" s="1" t="str">
        <f>_xlfn.XLOOKUP(表格1[[#This Row],[Dish]],dish_trans[中文菜名 (Chinese)],dish_trans[印尼文翻譯 (Indonesian)2])</f>
        <v>Sup Miso Kentang</v>
      </c>
      <c r="I163" s="1" t="s">
        <v>548</v>
      </c>
      <c r="J163" s="1" t="s">
        <v>6</v>
      </c>
      <c r="K163" s="1" t="s">
        <v>6</v>
      </c>
      <c r="L163" s="1" t="s">
        <v>7</v>
      </c>
      <c r="M163" s="1" t="s">
        <v>469</v>
      </c>
      <c r="N163" s="1" t="s">
        <v>510</v>
      </c>
      <c r="O163" s="1" t="s">
        <v>544</v>
      </c>
    </row>
    <row r="164" spans="2:17" x14ac:dyDescent="0.4">
      <c r="B164" s="1" t="s">
        <v>627</v>
      </c>
      <c r="C164" s="1" t="s">
        <v>26</v>
      </c>
      <c r="D164" s="2" t="s">
        <v>110</v>
      </c>
      <c r="E164" s="2" t="s">
        <v>624</v>
      </c>
      <c r="F164" s="1" t="str">
        <f>_xlfn.XLOOKUP(表格1[[#This Row],[Dish]],dish_trans!A:A,dish_trans!B:B)</f>
        <v>Pork Miso Soup</v>
      </c>
      <c r="G164" s="1" t="str">
        <f>_xlfn.XLOOKUP(表格1[[#This Row],[Dish]],dish_trans[中文菜名 (Chinese)],dish_trans[菲律賓文翻譯 (Filipino/Tagalog)])</f>
        <v>Sabaw na Miso na may Baboy</v>
      </c>
      <c r="H164" s="1" t="str">
        <f>_xlfn.XLOOKUP(表格1[[#This Row],[Dish]],dish_trans[中文菜名 (Chinese)],dish_trans[印尼文翻譯 (Indonesian)2])</f>
        <v>Sup Miso Babi</v>
      </c>
      <c r="I164" s="1" t="s">
        <v>548</v>
      </c>
      <c r="J164" s="1" t="s">
        <v>6</v>
      </c>
      <c r="K164" s="1" t="s">
        <v>6</v>
      </c>
      <c r="L164" s="1" t="s">
        <v>7</v>
      </c>
      <c r="M164" s="1" t="s">
        <v>461</v>
      </c>
      <c r="N164" s="1" t="s">
        <v>510</v>
      </c>
      <c r="O164" s="1" t="s">
        <v>542</v>
      </c>
    </row>
    <row r="165" spans="2:17" x14ac:dyDescent="0.4">
      <c r="B165" s="1" t="s">
        <v>628</v>
      </c>
      <c r="C165" s="1" t="s">
        <v>26</v>
      </c>
      <c r="D165" s="1" t="s">
        <v>457</v>
      </c>
      <c r="E165" s="1" t="s">
        <v>625</v>
      </c>
      <c r="F165" s="1" t="str">
        <f>_xlfn.XLOOKUP(表格1[[#This Row],[Dish]],dish_trans!A:A,dish_trans!B:B)</f>
        <v>Pickled White Kimchi</v>
      </c>
      <c r="G165" s="1" t="str">
        <f>_xlfn.XLOOKUP(表格1[[#This Row],[Dish]],dish_trans[中文菜名 (Chinese)],dish_trans[菲律賓文翻譯 (Filipino/Tagalog)])</f>
        <v>Binurong Puting Kimchi</v>
      </c>
      <c r="H165" s="1" t="str">
        <f>_xlfn.XLOOKUP(表格1[[#This Row],[Dish]],dish_trans[中文菜名 (Chinese)],dish_trans[印尼文翻譯 (Indonesian)2])</f>
        <v>Kimchi Putih Acar</v>
      </c>
      <c r="I165" s="1" t="s">
        <v>548</v>
      </c>
      <c r="J165" s="1" t="s">
        <v>6</v>
      </c>
      <c r="K165" s="1" t="s">
        <v>6</v>
      </c>
      <c r="L165" s="1" t="s">
        <v>7</v>
      </c>
      <c r="M165" s="1" t="s">
        <v>471</v>
      </c>
      <c r="N165" s="1" t="s">
        <v>463</v>
      </c>
      <c r="O165" s="1" t="s">
        <v>544</v>
      </c>
      <c r="Q165" s="2" t="s">
        <v>117</v>
      </c>
    </row>
    <row r="166" spans="2:17" x14ac:dyDescent="0.4">
      <c r="B166" s="1" t="s">
        <v>629</v>
      </c>
      <c r="C166" s="1" t="s">
        <v>26</v>
      </c>
      <c r="D166" s="2" t="s">
        <v>110</v>
      </c>
      <c r="E166" s="1" t="s">
        <v>626</v>
      </c>
      <c r="F166" s="1" t="str">
        <f>_xlfn.XLOOKUP(表格1[[#This Row],[Dish]],dish_trans!A:A,dish_trans!B:B)</f>
        <v>Stewed Sweet Pumpkin</v>
      </c>
      <c r="G166" s="1" t="str">
        <f>_xlfn.XLOOKUP(表格1[[#This Row],[Dish]],dish_trans[中文菜名 (Chinese)],dish_trans[菲律賓文翻譯 (Filipino/Tagalog)])</f>
        <v>Nilagang Matamis na Kalabasa</v>
      </c>
      <c r="H166" s="1" t="str">
        <f>_xlfn.XLOOKUP(表格1[[#This Row],[Dish]],dish_trans[中文菜名 (Chinese)],dish_trans[印尼文翻譯 (Indonesian)2])</f>
        <v>Labu Manis Rebus</v>
      </c>
      <c r="I166" s="1" t="s">
        <v>548</v>
      </c>
      <c r="J166" s="1" t="s">
        <v>6</v>
      </c>
      <c r="K166" s="1" t="s">
        <v>6</v>
      </c>
      <c r="L166" s="1" t="s">
        <v>7</v>
      </c>
      <c r="M166" s="1" t="s">
        <v>471</v>
      </c>
      <c r="N166" s="1" t="s">
        <v>463</v>
      </c>
      <c r="O166" s="1" t="s">
        <v>544</v>
      </c>
    </row>
    <row r="167" spans="2:17" x14ac:dyDescent="0.4">
      <c r="B167" s="1" t="s">
        <v>631</v>
      </c>
      <c r="C167" s="1" t="s">
        <v>26</v>
      </c>
      <c r="D167" s="1" t="s">
        <v>457</v>
      </c>
      <c r="E167" s="1" t="s">
        <v>630</v>
      </c>
      <c r="F167" s="1" t="str">
        <f>_xlfn.XLOOKUP(表格1[[#This Row],[Dish]],dish_trans!A:A,dish_trans!B:B)</f>
        <v>Tossed Spinach without Broth</v>
      </c>
      <c r="G167" s="1" t="str">
        <f>_xlfn.XLOOKUP(表格1[[#This Row],[Dish]],dish_trans[中文菜名 (Chinese)],dish_trans[菲律賓文翻譯 (Filipino/Tagalog)])</f>
        <v>Hinalong Espinaka na Walang Sabaw</v>
      </c>
      <c r="H167" s="1" t="str">
        <f>_xlfn.XLOOKUP(表格1[[#This Row],[Dish]],dish_trans[中文菜名 (Chinese)],dish_trans[印尼文翻譯 (Indonesian)2])</f>
        <v>Bayam Aduk Tanpa Kuah</v>
      </c>
      <c r="I167" s="1" t="s">
        <v>548</v>
      </c>
      <c r="J167" s="1" t="s">
        <v>6</v>
      </c>
      <c r="K167" s="1" t="s">
        <v>6</v>
      </c>
      <c r="L167" s="1" t="s">
        <v>7</v>
      </c>
      <c r="M167" s="1" t="s">
        <v>471</v>
      </c>
      <c r="N167" s="1" t="s">
        <v>463</v>
      </c>
      <c r="O167" s="1" t="s">
        <v>544</v>
      </c>
    </row>
    <row r="168" spans="2:17" x14ac:dyDescent="0.4">
      <c r="B168" s="1" t="s">
        <v>634</v>
      </c>
      <c r="C168" s="1" t="s">
        <v>26</v>
      </c>
      <c r="D168" s="2" t="s">
        <v>110</v>
      </c>
      <c r="E168" s="1" t="s">
        <v>632</v>
      </c>
      <c r="F168" s="1" t="str">
        <f>_xlfn.XLOOKUP(表格1[[#This Row],[Dish]],dish_trans!A:A,dish_trans!B:B)</f>
        <v>Curry Udon</v>
      </c>
      <c r="G168" s="1" t="str">
        <f>_xlfn.XLOOKUP(表格1[[#This Row],[Dish]],dish_trans[中文菜名 (Chinese)],dish_trans[菲律賓文翻譯 (Filipino/Tagalog)])</f>
        <v>Curry Udon</v>
      </c>
      <c r="H168" s="1" t="str">
        <f>_xlfn.XLOOKUP(表格1[[#This Row],[Dish]],dish_trans[中文菜名 (Chinese)],dish_trans[印尼文翻譯 (Indonesian)2])</f>
        <v>Udon Kari</v>
      </c>
      <c r="I168" s="1" t="s">
        <v>548</v>
      </c>
      <c r="J168" s="1" t="s">
        <v>6</v>
      </c>
      <c r="K168" s="1" t="s">
        <v>6</v>
      </c>
      <c r="L168" s="1" t="s">
        <v>7</v>
      </c>
      <c r="M168" s="1" t="s">
        <v>590</v>
      </c>
      <c r="N168" s="1" t="s">
        <v>534</v>
      </c>
      <c r="O168" s="1" t="s">
        <v>542</v>
      </c>
    </row>
    <row r="169" spans="2:17" x14ac:dyDescent="0.4">
      <c r="B169" s="1" t="s">
        <v>635</v>
      </c>
      <c r="C169" s="1" t="s">
        <v>26</v>
      </c>
      <c r="D169" s="2" t="s">
        <v>110</v>
      </c>
      <c r="E169" s="1" t="s">
        <v>633</v>
      </c>
      <c r="F169" s="1" t="str">
        <f>_xlfn.XLOOKUP(表格1[[#This Row],[Dish]],dish_trans!A:A,dish_trans!B:B)</f>
        <v>Stewed Meat with Potatoes</v>
      </c>
      <c r="G169" s="1" t="str">
        <f>_xlfn.XLOOKUP(表格1[[#This Row],[Dish]],dish_trans[中文菜名 (Chinese)],dish_trans[菲律賓文翻譯 (Filipino/Tagalog)])</f>
        <v>Nilagang Karne na may Patatas</v>
      </c>
      <c r="H169" s="1" t="str">
        <f>_xlfn.XLOOKUP(表格1[[#This Row],[Dish]],dish_trans[中文菜名 (Chinese)],dish_trans[印尼文翻譯 (Indonesian)2])</f>
        <v>Daging Rebus Kentang</v>
      </c>
      <c r="I169" s="1" t="s">
        <v>548</v>
      </c>
      <c r="J169" s="1" t="s">
        <v>6</v>
      </c>
      <c r="K169" s="1" t="s">
        <v>6</v>
      </c>
      <c r="L169" s="1" t="s">
        <v>7</v>
      </c>
      <c r="M169" s="1" t="s">
        <v>461</v>
      </c>
      <c r="N169" s="1" t="s">
        <v>459</v>
      </c>
      <c r="O169" s="1" t="s">
        <v>542</v>
      </c>
    </row>
    <row r="170" spans="2:17" x14ac:dyDescent="0.4">
      <c r="B170" s="1" t="s">
        <v>637</v>
      </c>
      <c r="C170" s="1" t="s">
        <v>26</v>
      </c>
      <c r="D170" s="2" t="s">
        <v>110</v>
      </c>
      <c r="E170" s="1" t="s">
        <v>636</v>
      </c>
      <c r="F170" s="1" t="str">
        <f>_xlfn.XLOOKUP(表格1[[#This Row],[Dish]],dish_trans!A:A,dish_trans!B:B)</f>
        <v>Okonomiyaki</v>
      </c>
      <c r="G170" s="1" t="str">
        <f>_xlfn.XLOOKUP(表格1[[#This Row],[Dish]],dish_trans[中文菜名 (Chinese)],dish_trans[菲律賓文翻譯 (Filipino/Tagalog)])</f>
        <v>Okonomiyaki</v>
      </c>
      <c r="H170" s="1" t="str">
        <f>_xlfn.XLOOKUP(表格1[[#This Row],[Dish]],dish_trans[中文菜名 (Chinese)],dish_trans[印尼文翻譯 (Indonesian)2])</f>
        <v>Okonomiyaki</v>
      </c>
      <c r="I170" s="1" t="s">
        <v>548</v>
      </c>
      <c r="J170" s="1" t="s">
        <v>6</v>
      </c>
      <c r="K170" s="1" t="s">
        <v>6</v>
      </c>
      <c r="L170" s="1" t="s">
        <v>7</v>
      </c>
      <c r="M170" s="1" t="s">
        <v>461</v>
      </c>
      <c r="N170" s="1" t="s">
        <v>534</v>
      </c>
      <c r="O170" s="1" t="s">
        <v>542</v>
      </c>
    </row>
    <row r="171" spans="2:17" x14ac:dyDescent="0.4">
      <c r="B171" s="1" t="s">
        <v>639</v>
      </c>
      <c r="C171" s="1" t="s">
        <v>26</v>
      </c>
      <c r="D171" s="2" t="s">
        <v>110</v>
      </c>
      <c r="E171" s="1" t="s">
        <v>638</v>
      </c>
      <c r="F171" s="1" t="str">
        <f>_xlfn.XLOOKUP(表格1[[#This Row],[Dish]],dish_trans!A:A,dish_trans!B:B)</f>
        <v>Pan-fried Chicken Meatballs</v>
      </c>
      <c r="G171" s="1" t="str">
        <f>_xlfn.XLOOKUP(表格1[[#This Row],[Dish]],dish_trans[中文菜名 (Chinese)],dish_trans[菲律賓文翻譯 (Filipino/Tagalog)])</f>
        <v>Pinritong Bola-bolang Manok</v>
      </c>
      <c r="H171" s="1" t="str">
        <f>_xlfn.XLOOKUP(表格1[[#This Row],[Dish]],dish_trans[中文菜名 (Chinese)],dish_trans[印尼文翻譯 (Indonesian)2])</f>
        <v>Bola Ayam Goreng Wajan</v>
      </c>
      <c r="I171" s="1" t="s">
        <v>548</v>
      </c>
      <c r="J171" s="1" t="s">
        <v>6</v>
      </c>
      <c r="K171" s="1" t="s">
        <v>6</v>
      </c>
      <c r="L171" s="1" t="s">
        <v>7</v>
      </c>
      <c r="M171" s="1" t="s">
        <v>501</v>
      </c>
      <c r="N171" s="1" t="s">
        <v>459</v>
      </c>
      <c r="O171" s="1" t="s">
        <v>542</v>
      </c>
    </row>
    <row r="172" spans="2:17" x14ac:dyDescent="0.4">
      <c r="B172" s="1" t="s">
        <v>642</v>
      </c>
      <c r="C172" s="1" t="s">
        <v>26</v>
      </c>
      <c r="D172" s="1" t="s">
        <v>457</v>
      </c>
      <c r="E172" s="1" t="s">
        <v>640</v>
      </c>
      <c r="F172" s="1" t="str">
        <f>_xlfn.XLOOKUP(表格1[[#This Row],[Dish]],dish_trans!A:A,dish_trans!B:B)</f>
        <v>Soy Milk Pudding with Dark Sugar Syrup</v>
      </c>
      <c r="G172" s="1" t="str">
        <f>_xlfn.XLOOKUP(表格1[[#This Row],[Dish]],dish_trans[中文菜名 (Chinese)],dish_trans[菲律賓文翻譯 (Filipino/Tagalog)])</f>
        <v>Puding na Gatas na Soya na may Maitim na Arnibal</v>
      </c>
      <c r="H172" s="1" t="str">
        <f>_xlfn.XLOOKUP(表格1[[#This Row],[Dish]],dish_trans[中文菜名 (Chinese)],dish_trans[印尼文翻譯 (Indonesian)2])</f>
        <v>Puding Susu Kedelai dengan Sirup Gula Gelap</v>
      </c>
      <c r="I172" s="1" t="s">
        <v>548</v>
      </c>
      <c r="J172" s="1" t="s">
        <v>7</v>
      </c>
      <c r="K172" s="1" t="s">
        <v>7</v>
      </c>
      <c r="L172" s="1" t="s">
        <v>6</v>
      </c>
      <c r="M172" s="1" t="s">
        <v>484</v>
      </c>
      <c r="N172" s="1" t="s">
        <v>462</v>
      </c>
      <c r="O172" s="1" t="s">
        <v>544</v>
      </c>
    </row>
    <row r="173" spans="2:17" x14ac:dyDescent="0.4">
      <c r="B173" s="1" t="s">
        <v>643</v>
      </c>
      <c r="C173" s="1" t="s">
        <v>26</v>
      </c>
      <c r="D173" s="1" t="s">
        <v>457</v>
      </c>
      <c r="E173" s="2" t="s">
        <v>641</v>
      </c>
      <c r="F173" s="1" t="str">
        <f>_xlfn.XLOOKUP(表格1[[#This Row],[Dish]],dish_trans!A:A,dish_trans!B:B)</f>
        <v>Handmade Potato Balls in Tomato Sauce</v>
      </c>
      <c r="G173" s="1" t="str">
        <f>_xlfn.XLOOKUP(表格1[[#This Row],[Dish]],dish_trans[中文菜名 (Chinese)],dish_trans[菲律賓文翻譯 (Filipino/Tagalog)])</f>
        <v>Gawang-kamay na Bola-bolang Patatas sa Sarsang Kamatis</v>
      </c>
      <c r="H173" s="1" t="str">
        <f>_xlfn.XLOOKUP(表格1[[#This Row],[Dish]],dish_trans[中文菜名 (Chinese)],dish_trans[印尼文翻譯 (Indonesian)2])</f>
        <v>Bola Kentang Buatan Tangan Saus Tomat</v>
      </c>
      <c r="I173" s="1" t="s">
        <v>548</v>
      </c>
      <c r="J173" s="1" t="s">
        <v>6</v>
      </c>
      <c r="K173" s="1" t="s">
        <v>6</v>
      </c>
      <c r="L173" s="1" t="s">
        <v>7</v>
      </c>
      <c r="M173" s="1" t="s">
        <v>471</v>
      </c>
      <c r="N173" s="1" t="s">
        <v>459</v>
      </c>
      <c r="O173" s="1" t="s">
        <v>542</v>
      </c>
    </row>
    <row r="174" spans="2:17" x14ac:dyDescent="0.4">
      <c r="B174" s="1" t="s">
        <v>645</v>
      </c>
      <c r="C174" s="1" t="s">
        <v>26</v>
      </c>
      <c r="D174" s="1" t="s">
        <v>457</v>
      </c>
      <c r="E174" s="2" t="s">
        <v>644</v>
      </c>
      <c r="F174" s="1" t="str">
        <f>_xlfn.XLOOKUP(表格1[[#This Row],[Dish]],dish_trans!A:A,dish_trans!B:B)</f>
        <v>Vegetarian Curry Rice</v>
      </c>
      <c r="G174" s="1" t="str">
        <f>_xlfn.XLOOKUP(表格1[[#This Row],[Dish]],dish_trans[中文菜名 (Chinese)],dish_trans[菲律賓文翻譯 (Filipino/Tagalog)])</f>
        <v>Vegetarian na Kanin na may Curry</v>
      </c>
      <c r="H174" s="1" t="str">
        <f>_xlfn.XLOOKUP(表格1[[#This Row],[Dish]],dish_trans[中文菜名 (Chinese)],dish_trans[印尼文翻譯 (Indonesian)2])</f>
        <v>Nasi Kari Vegetarian</v>
      </c>
      <c r="I174" s="1" t="s">
        <v>548</v>
      </c>
      <c r="J174" s="1" t="s">
        <v>6</v>
      </c>
      <c r="K174" s="1" t="s">
        <v>6</v>
      </c>
      <c r="L174" s="1" t="s">
        <v>7</v>
      </c>
      <c r="M174" s="1" t="s">
        <v>471</v>
      </c>
      <c r="N174" s="1" t="s">
        <v>534</v>
      </c>
      <c r="O174" s="1" t="s">
        <v>542</v>
      </c>
    </row>
    <row r="175" spans="2:17" x14ac:dyDescent="0.4">
      <c r="B175" s="1" t="s">
        <v>648</v>
      </c>
      <c r="C175" s="1" t="s">
        <v>5</v>
      </c>
      <c r="D175" s="1" t="s">
        <v>457</v>
      </c>
      <c r="E175" s="2" t="s">
        <v>647</v>
      </c>
      <c r="F175" s="1" t="str">
        <f>_xlfn.XLOOKUP(表格1[[#This Row],[Dish]],dish_trans!A:A,dish_trans!B:B)</f>
        <v>Berry, Banana and Almond Milkshake</v>
      </c>
      <c r="G175" s="1" t="str">
        <f>_xlfn.XLOOKUP(表格1[[#This Row],[Dish]],dish_trans[中文菜名 (Chinese)],dish_trans[菲律賓文翻譯 (Filipino/Tagalog)])</f>
        <v>Milkshake na Berry, Saging at Almendras</v>
      </c>
      <c r="H175" s="1" t="str">
        <f>_xlfn.XLOOKUP(表格1[[#This Row],[Dish]],dish_trans[中文菜名 (Chinese)],dish_trans[印尼文翻譯 (Indonesian)2])</f>
        <v>Milkshake Beri, Pisang dan Almon</v>
      </c>
      <c r="I175" s="1" t="s">
        <v>497</v>
      </c>
      <c r="J175" s="1" t="s">
        <v>7</v>
      </c>
      <c r="K175" s="1" t="s">
        <v>7</v>
      </c>
      <c r="L175" s="1" t="s">
        <v>6</v>
      </c>
      <c r="M175" s="1" t="s">
        <v>563</v>
      </c>
      <c r="N175" s="1" t="s">
        <v>497</v>
      </c>
      <c r="O175" s="1" t="s">
        <v>544</v>
      </c>
    </row>
    <row r="176" spans="2:17" x14ac:dyDescent="0.4">
      <c r="B176" s="1" t="s">
        <v>650</v>
      </c>
      <c r="C176" s="1" t="s">
        <v>26</v>
      </c>
      <c r="D176" s="1" t="s">
        <v>457</v>
      </c>
      <c r="E176" s="1" t="s">
        <v>649</v>
      </c>
      <c r="F176" s="1" t="str">
        <f>_xlfn.XLOOKUP(表格1[[#This Row],[Dish]],dish_trans!A:A,dish_trans!B:B)</f>
        <v>Tempeh Rice Bowl with Peanut Butter and Coconut Milk</v>
      </c>
      <c r="G176" s="1" t="str">
        <f>_xlfn.XLOOKUP(表格1[[#This Row],[Dish]],dish_trans[中文菜名 (Chinese)],dish_trans[菲律賓文翻譯 (Filipino/Tagalog)])</f>
        <v>Kanin sa Mangkok na may Tempeh, Peanut Butter at Gata</v>
      </c>
      <c r="H176" s="1" t="str">
        <f>_xlfn.XLOOKUP(表格1[[#This Row],[Dish]],dish_trans[中文菜名 (Chinese)],dish_trans[印尼文翻譯 (Indonesian)2])</f>
        <v>Nasi Mangkuk Tempe dengan Selai Kacang dan Santan</v>
      </c>
      <c r="I176" s="1" t="s">
        <v>548</v>
      </c>
      <c r="J176" s="1" t="s">
        <v>6</v>
      </c>
      <c r="K176" s="1" t="s">
        <v>7</v>
      </c>
      <c r="L176" s="1" t="s">
        <v>7</v>
      </c>
      <c r="M176" s="1" t="s">
        <v>484</v>
      </c>
      <c r="N176" s="1" t="s">
        <v>534</v>
      </c>
      <c r="O176" s="1" t="s">
        <v>542</v>
      </c>
    </row>
    <row r="177" spans="1:20" x14ac:dyDescent="0.4">
      <c r="B177" s="1" t="s">
        <v>657</v>
      </c>
      <c r="C177" s="2" t="s">
        <v>475</v>
      </c>
      <c r="D177" s="2" t="s">
        <v>110</v>
      </c>
      <c r="E177" s="1" t="s">
        <v>651</v>
      </c>
      <c r="F177" s="1" t="str">
        <f>_xlfn.XLOOKUP(表格1[[#This Row],[Dish]],dish_trans!A:A,dish_trans!B:B)</f>
        <v>Steamed Tofu and Fish Paste</v>
      </c>
      <c r="G177" s="1" t="str">
        <f>_xlfn.XLOOKUP(表格1[[#This Row],[Dish]],dish_trans[中文菜名 (Chinese)],dish_trans[菲律賓文翻譯 (Filipino/Tagalog)])</f>
        <v>Pinasingawang Tokwa at Dinurog na Isda</v>
      </c>
      <c r="H177" s="1" t="str">
        <f>_xlfn.XLOOKUP(表格1[[#This Row],[Dish]],dish_trans[中文菜名 (Chinese)],dish_trans[印尼文翻譯 (Indonesian)2])</f>
        <v>Tahu Kukus dengan Adonan Ikan</v>
      </c>
      <c r="I177" s="1" t="s">
        <v>548</v>
      </c>
      <c r="J177" s="1" t="s">
        <v>6</v>
      </c>
      <c r="K177" s="1" t="s">
        <v>6</v>
      </c>
      <c r="L177" s="1" t="s">
        <v>7</v>
      </c>
      <c r="M177" s="1" t="s">
        <v>469</v>
      </c>
      <c r="N177" s="1" t="s">
        <v>463</v>
      </c>
      <c r="O177" s="1" t="s">
        <v>544</v>
      </c>
      <c r="P177" s="1">
        <v>2</v>
      </c>
    </row>
    <row r="178" spans="1:20" x14ac:dyDescent="0.4">
      <c r="B178" s="1" t="s">
        <v>658</v>
      </c>
      <c r="C178" s="2" t="s">
        <v>475</v>
      </c>
      <c r="D178" s="1" t="s">
        <v>457</v>
      </c>
      <c r="E178" s="1" t="s">
        <v>653</v>
      </c>
      <c r="F178" s="1" t="str">
        <f>_xlfn.XLOOKUP(表格1[[#This Row],[Dish]],dish_trans!A:A,dish_trans!B:B)</f>
        <v>Vegan Tofu Casserole in Sauce</v>
      </c>
      <c r="G178" s="1" t="str">
        <f>_xlfn.XLOOKUP(表格1[[#This Row],[Dish]],dish_trans[中文菜名 (Chinese)],dish_trans[菲律賓文翻譯 (Filipino/Tagalog)])</f>
        <v>Vegan na Tokwa sa Sarsa sa Palayok</v>
      </c>
      <c r="H178" s="1" t="str">
        <f>_xlfn.XLOOKUP(表格1[[#This Row],[Dish]],dish_trans[中文菜名 (Chinese)],dish_trans[印尼文翻譯 (Indonesian)2])</f>
        <v>Tahu Vegan Masak Saus dalam Panci</v>
      </c>
      <c r="I178" s="1" t="s">
        <v>548</v>
      </c>
      <c r="J178" s="1" t="s">
        <v>6</v>
      </c>
      <c r="K178" s="1" t="s">
        <v>6</v>
      </c>
      <c r="L178" s="1" t="s">
        <v>7</v>
      </c>
      <c r="M178" s="1" t="s">
        <v>484</v>
      </c>
      <c r="N178" s="1" t="s">
        <v>459</v>
      </c>
      <c r="O178" s="1" t="s">
        <v>542</v>
      </c>
      <c r="P178" s="1">
        <v>2</v>
      </c>
      <c r="Q178" s="2" t="s">
        <v>116</v>
      </c>
    </row>
    <row r="179" spans="1:20" x14ac:dyDescent="0.4">
      <c r="B179" s="1" t="s">
        <v>659</v>
      </c>
      <c r="C179" s="2" t="s">
        <v>5</v>
      </c>
      <c r="D179" s="1" t="s">
        <v>457</v>
      </c>
      <c r="E179" s="2" t="s">
        <v>654</v>
      </c>
      <c r="F179" s="1" t="str">
        <f>_xlfn.XLOOKUP(表格1[[#This Row],[Dish]],dish_trans!A:A,dish_trans!B:B)</f>
        <v>Pistachio Cheesecake</v>
      </c>
      <c r="G179" s="1" t="str">
        <f>_xlfn.XLOOKUP(表格1[[#This Row],[Dish]],dish_trans[中文菜名 (Chinese)],dish_trans[菲律賓文翻譯 (Filipino/Tagalog)])</f>
        <v>Pistachio Cheesecake</v>
      </c>
      <c r="H179" s="1" t="str">
        <f>_xlfn.XLOOKUP(表格1[[#This Row],[Dish]],dish_trans[中文菜名 (Chinese)],dish_trans[印尼文翻譯 (Indonesian)2])</f>
        <v>Kue Keju Pistacio</v>
      </c>
      <c r="I179" s="1" t="s">
        <v>548</v>
      </c>
      <c r="J179" s="1" t="s">
        <v>7</v>
      </c>
      <c r="K179" s="1" t="s">
        <v>7</v>
      </c>
      <c r="L179" s="1" t="s">
        <v>6</v>
      </c>
      <c r="M179" s="1" t="s">
        <v>484</v>
      </c>
      <c r="N179" s="1" t="s">
        <v>462</v>
      </c>
      <c r="O179" s="1" t="s">
        <v>544</v>
      </c>
    </row>
    <row r="180" spans="1:20" x14ac:dyDescent="0.4">
      <c r="B180" s="1" t="s">
        <v>660</v>
      </c>
      <c r="C180" s="1" t="s">
        <v>26</v>
      </c>
      <c r="D180" s="1" t="s">
        <v>457</v>
      </c>
      <c r="E180" s="2" t="s">
        <v>656</v>
      </c>
      <c r="F180" s="1" t="str">
        <f>_xlfn.XLOOKUP(表格1[[#This Row],[Dish]],dish_trans!A:A,dish_trans!B:B)</f>
        <v>Salt Koji and Miso Vegetable Stew</v>
      </c>
      <c r="G180" s="1" t="str">
        <f>_xlfn.XLOOKUP(表格1[[#This Row],[Dish]],dish_trans[中文菜名 (Chinese)],dish_trans[菲律賓文翻譯 (Filipino/Tagalog)])</f>
        <v>Nilagang Gulay na may Salt Koji at Miso</v>
      </c>
      <c r="H180" s="1" t="str">
        <f>_xlfn.XLOOKUP(表格1[[#This Row],[Dish]],dish_trans[中文菜名 (Chinese)],dish_trans[印尼文翻譯 (Indonesian)2])</f>
        <v>Sayuran Rebus Koji Garam dan Miso</v>
      </c>
      <c r="I180" s="1" t="s">
        <v>548</v>
      </c>
      <c r="J180" s="1" t="s">
        <v>6</v>
      </c>
      <c r="K180" s="1" t="s">
        <v>6</v>
      </c>
      <c r="L180" s="1" t="s">
        <v>7</v>
      </c>
      <c r="M180" s="1" t="s">
        <v>471</v>
      </c>
      <c r="N180" s="1" t="s">
        <v>459</v>
      </c>
      <c r="O180" s="1" t="s">
        <v>544</v>
      </c>
    </row>
    <row r="181" spans="1:20" x14ac:dyDescent="0.4">
      <c r="B181" s="1" t="s">
        <v>662</v>
      </c>
      <c r="C181" s="2" t="s">
        <v>475</v>
      </c>
      <c r="D181" s="1" t="s">
        <v>457</v>
      </c>
      <c r="E181" s="1" t="s">
        <v>661</v>
      </c>
      <c r="F181" s="1" t="str">
        <f>_xlfn.XLOOKUP(表格1[[#This Row],[Dish]],dish_trans!A:A,dish_trans!B:B)</f>
        <v>Hand-torn King Oyster Mushrooms</v>
      </c>
      <c r="G181" s="1" t="str">
        <f>_xlfn.XLOOKUP(表格1[[#This Row],[Dish]],dish_trans[中文菜名 (Chinese)],dish_trans[菲律賓文翻譯 (Filipino/Tagalog)])</f>
        <v>Hinimay na Kabuteng King Oyster</v>
      </c>
      <c r="H181" s="1" t="str">
        <f>_xlfn.XLOOKUP(表格1[[#This Row],[Dish]],dish_trans[中文菜名 (Chinese)],dish_trans[印尼文翻譯 (Indonesian)2])</f>
        <v>Jamur Tiram Raja Suwir</v>
      </c>
      <c r="I181" s="1" t="s">
        <v>548</v>
      </c>
      <c r="J181" s="1" t="s">
        <v>6</v>
      </c>
      <c r="K181" s="1" t="s">
        <v>6</v>
      </c>
      <c r="L181" s="1" t="s">
        <v>7</v>
      </c>
      <c r="M181" s="1" t="s">
        <v>471</v>
      </c>
      <c r="N181" s="1" t="s">
        <v>459</v>
      </c>
      <c r="O181" s="1" t="s">
        <v>544</v>
      </c>
    </row>
    <row r="182" spans="1:20" x14ac:dyDescent="0.4">
      <c r="B182" s="1" t="s">
        <v>664</v>
      </c>
      <c r="C182" s="2" t="s">
        <v>475</v>
      </c>
      <c r="D182" s="1" t="s">
        <v>457</v>
      </c>
      <c r="E182" s="1" t="s">
        <v>663</v>
      </c>
      <c r="F182" s="1" t="str">
        <f>_xlfn.XLOOKUP(表格1[[#This Row],[Dish]],dish_trans!A:A,dish_trans!B:B)</f>
        <v>Hakka-style Deep-fried Tofu</v>
      </c>
      <c r="G182" s="1" t="str">
        <f>_xlfn.XLOOKUP(表格1[[#This Row],[Dish]],dish_trans[中文菜名 (Chinese)],dish_trans[菲律賓文翻譯 (Filipino/Tagalog)])</f>
        <v>Piniritong Tokwa na Estilong Hakka</v>
      </c>
      <c r="H182" s="1" t="str">
        <f>_xlfn.XLOOKUP(表格1[[#This Row],[Dish]],dish_trans[中文菜名 (Chinese)],dish_trans[印尼文翻譯 (Indonesian)2])</f>
        <v>Tahu Goreng ala Hakka</v>
      </c>
      <c r="I182" s="1" t="s">
        <v>548</v>
      </c>
      <c r="J182" s="1" t="s">
        <v>6</v>
      </c>
      <c r="K182" s="1" t="s">
        <v>6</v>
      </c>
      <c r="L182" s="1" t="s">
        <v>7</v>
      </c>
      <c r="M182" s="1" t="s">
        <v>484</v>
      </c>
      <c r="N182" s="1" t="s">
        <v>459</v>
      </c>
      <c r="O182" s="1" t="s">
        <v>544</v>
      </c>
    </row>
    <row r="183" spans="1:20" x14ac:dyDescent="0.4">
      <c r="B183" s="1" t="s">
        <v>666</v>
      </c>
      <c r="C183" s="2" t="s">
        <v>475</v>
      </c>
      <c r="D183" s="1" t="s">
        <v>457</v>
      </c>
      <c r="E183" s="1" t="s">
        <v>665</v>
      </c>
      <c r="F183" s="1" t="str">
        <f>_xlfn.XLOOKUP(表格1[[#This Row],[Dish]],dish_trans!A:A,dish_trans!B:B)</f>
        <v>Vegetarian Ants Climbing a Tree (Glass Noodles)</v>
      </c>
      <c r="G183" s="1" t="str">
        <f>_xlfn.XLOOKUP(表格1[[#This Row],[Dish]],dish_trans[中文菜名 (Chinese)],dish_trans[菲律賓文翻譯 (Filipino/Tagalog)])</f>
        <v>Vegetarian na Ants Climbing a Tree (Sotanghon)</v>
      </c>
      <c r="H183" s="1" t="str">
        <f>_xlfn.XLOOKUP(表格1[[#This Row],[Dish]],dish_trans[中文菜名 (Chinese)],dish_trans[印尼文翻譯 (Indonesian)2])</f>
        <v>Semut Memanjat Pohon Vegetarian (Soun)</v>
      </c>
      <c r="I183" s="1" t="s">
        <v>548</v>
      </c>
      <c r="J183" s="1" t="s">
        <v>6</v>
      </c>
      <c r="K183" s="1" t="s">
        <v>6</v>
      </c>
      <c r="L183" s="1" t="s">
        <v>7</v>
      </c>
      <c r="M183" s="1" t="s">
        <v>471</v>
      </c>
      <c r="N183" s="1" t="s">
        <v>459</v>
      </c>
      <c r="O183" s="1" t="s">
        <v>542</v>
      </c>
    </row>
    <row r="184" spans="1:20" x14ac:dyDescent="0.4">
      <c r="B184" s="1" t="s">
        <v>668</v>
      </c>
      <c r="C184" s="2" t="s">
        <v>475</v>
      </c>
      <c r="D184" s="1" t="s">
        <v>457</v>
      </c>
      <c r="E184" s="1" t="s">
        <v>667</v>
      </c>
      <c r="F184" s="1" t="str">
        <f>_xlfn.XLOOKUP(表格1[[#This Row],[Dish]],dish_trans!A:A,dish_trans!B:B)</f>
        <v>Three-cup Tofu</v>
      </c>
      <c r="G184" s="1" t="str">
        <f>_xlfn.XLOOKUP(表格1[[#This Row],[Dish]],dish_trans[中文菜名 (Chinese)],dish_trans[菲律賓文翻譯 (Filipino/Tagalog)])</f>
        <v>Three-cup na Tokwa</v>
      </c>
      <c r="H184" s="1" t="str">
        <f>_xlfn.XLOOKUP(表格1[[#This Row],[Dish]],dish_trans[中文菜名 (Chinese)],dish_trans[印尼文翻譯 (Indonesian)2])</f>
        <v>Tahu Tiga Cangkir</v>
      </c>
      <c r="I184" s="1" t="s">
        <v>548</v>
      </c>
      <c r="J184" s="1" t="s">
        <v>6</v>
      </c>
      <c r="K184" s="1" t="s">
        <v>6</v>
      </c>
      <c r="L184" s="1" t="s">
        <v>7</v>
      </c>
      <c r="M184" s="1" t="s">
        <v>484</v>
      </c>
      <c r="N184" s="1" t="s">
        <v>459</v>
      </c>
      <c r="O184" s="1" t="s">
        <v>542</v>
      </c>
      <c r="T184" s="1" t="s">
        <v>669</v>
      </c>
    </row>
    <row r="185" spans="1:20" x14ac:dyDescent="0.4">
      <c r="B185" s="1" t="s">
        <v>670</v>
      </c>
      <c r="C185" s="2" t="s">
        <v>5</v>
      </c>
      <c r="D185" s="1" t="s">
        <v>457</v>
      </c>
      <c r="E185" s="2" t="s">
        <v>673</v>
      </c>
      <c r="F185" s="1" t="str">
        <f>_xlfn.XLOOKUP(表格1[[#This Row],[Dish]],dish_trans!A:A,dish_trans!B:B)</f>
        <v>Hummus with Wholemeal Toast</v>
      </c>
      <c r="G185" s="1" t="str">
        <f>_xlfn.XLOOKUP(表格1[[#This Row],[Dish]],dish_trans[中文菜名 (Chinese)],dish_trans[菲律賓文翻譯 (Filipino/Tagalog)])</f>
        <v>Hummus na may Whole-wheat Toast</v>
      </c>
      <c r="H185" s="1" t="str">
        <f>_xlfn.XLOOKUP(表格1[[#This Row],[Dish]],dish_trans[中文菜名 (Chinese)],dish_trans[印尼文翻譯 (Indonesian)2])</f>
        <v>Hummus dengan Roti Gandum Utuh Panggang</v>
      </c>
      <c r="I185" s="1" t="s">
        <v>556</v>
      </c>
      <c r="J185" s="1" t="s">
        <v>6</v>
      </c>
      <c r="K185" s="1" t="s">
        <v>7</v>
      </c>
      <c r="L185" s="1" t="s">
        <v>6</v>
      </c>
      <c r="M185" s="1" t="s">
        <v>484</v>
      </c>
      <c r="N185" s="1" t="s">
        <v>534</v>
      </c>
      <c r="O185" s="1" t="s">
        <v>546</v>
      </c>
    </row>
    <row r="186" spans="1:20" x14ac:dyDescent="0.4">
      <c r="B186" s="1" t="s">
        <v>671</v>
      </c>
      <c r="C186" s="2" t="s">
        <v>5</v>
      </c>
      <c r="D186" s="1" t="s">
        <v>457</v>
      </c>
      <c r="E186" s="2" t="s">
        <v>672</v>
      </c>
      <c r="F186" s="1" t="str">
        <f>_xlfn.XLOOKUP(表格1[[#This Row],[Dish]],dish_trans!A:A,dish_trans!B:B)</f>
        <v>Tempeh Wholemeal Sandwich</v>
      </c>
      <c r="G186" s="1" t="str">
        <f>_xlfn.XLOOKUP(表格1[[#This Row],[Dish]],dish_trans[中文菜名 (Chinese)],dish_trans[菲律賓文翻譯 (Filipino/Tagalog)])</f>
        <v>Whole-wheat Sandwich na may Tempeh</v>
      </c>
      <c r="H186" s="1" t="str">
        <f>_xlfn.XLOOKUP(表格1[[#This Row],[Dish]],dish_trans[中文菜名 (Chinese)],dish_trans[印尼文翻譯 (Indonesian)2])</f>
        <v>Roti Lapis Gandum Utuh Isi Tempe</v>
      </c>
      <c r="I186" s="1" t="s">
        <v>556</v>
      </c>
      <c r="J186" s="1" t="s">
        <v>6</v>
      </c>
      <c r="K186" s="1" t="s">
        <v>7</v>
      </c>
      <c r="L186" s="1" t="s">
        <v>6</v>
      </c>
      <c r="M186" s="1" t="s">
        <v>484</v>
      </c>
      <c r="N186" s="1" t="s">
        <v>534</v>
      </c>
      <c r="O186" s="1" t="s">
        <v>546</v>
      </c>
    </row>
    <row r="187" spans="1:20" x14ac:dyDescent="0.4">
      <c r="B187" s="1" t="s">
        <v>675</v>
      </c>
      <c r="C187" s="2" t="s">
        <v>5</v>
      </c>
      <c r="D187" s="1" t="s">
        <v>457</v>
      </c>
      <c r="E187" s="1" t="s">
        <v>674</v>
      </c>
      <c r="F187" s="1" t="str">
        <f>_xlfn.XLOOKUP(表格1[[#This Row],[Dish]],dish_trans!A:A,dish_trans!B:B)</f>
        <v>High-protein Green Latte</v>
      </c>
      <c r="G187" s="1" t="str">
        <f>_xlfn.XLOOKUP(表格1[[#This Row],[Dish]],dish_trans[中文菜名 (Chinese)],dish_trans[菲律賓文翻譯 (Filipino/Tagalog)])</f>
        <v>Green Latte na Mataas sa Protina</v>
      </c>
      <c r="H187" s="1" t="str">
        <f>_xlfn.XLOOKUP(表格1[[#This Row],[Dish]],dish_trans[中文菜名 (Chinese)],dish_trans[印尼文翻譯 (Indonesian)2])</f>
        <v>Latte Hijau Tinggi Protein</v>
      </c>
      <c r="I187" s="1" t="s">
        <v>497</v>
      </c>
      <c r="J187" s="1" t="s">
        <v>7</v>
      </c>
      <c r="K187" s="1" t="s">
        <v>7</v>
      </c>
      <c r="L187" s="1" t="s">
        <v>6</v>
      </c>
      <c r="M187" s="1" t="s">
        <v>484</v>
      </c>
      <c r="N187" s="1" t="s">
        <v>497</v>
      </c>
      <c r="O187" s="1" t="s">
        <v>544</v>
      </c>
    </row>
    <row r="188" spans="1:20" x14ac:dyDescent="0.4">
      <c r="B188" s="1" t="s">
        <v>677</v>
      </c>
      <c r="C188" s="2" t="s">
        <v>5</v>
      </c>
      <c r="D188" s="1" t="s">
        <v>457</v>
      </c>
      <c r="E188" s="1" t="s">
        <v>676</v>
      </c>
      <c r="F188" s="1" t="str">
        <f>_xlfn.XLOOKUP(表格1[[#This Row],[Dish]],dish_trans!A:A,dish_trans!B:B)</f>
        <v>Peanut Butter Protein Bars</v>
      </c>
      <c r="G188" s="1" t="str">
        <f>_xlfn.XLOOKUP(表格1[[#This Row],[Dish]],dish_trans[中文菜名 (Chinese)],dish_trans[菲律賓文翻譯 (Filipino/Tagalog)])</f>
        <v>Protein Bar na Peanut Butter</v>
      </c>
      <c r="H188" s="1" t="str">
        <f>_xlfn.XLOOKUP(表格1[[#This Row],[Dish]],dish_trans[中文菜名 (Chinese)],dish_trans[印尼文翻譯 (Indonesian)2])</f>
        <v>Batang Protein Selai Kacang</v>
      </c>
      <c r="I188" s="1" t="s">
        <v>559</v>
      </c>
      <c r="J188" s="1" t="s">
        <v>7</v>
      </c>
      <c r="K188" s="1" t="s">
        <v>7</v>
      </c>
      <c r="L188" s="1" t="s">
        <v>6</v>
      </c>
      <c r="M188" s="1" t="s">
        <v>484</v>
      </c>
      <c r="N188" s="1" t="s">
        <v>462</v>
      </c>
      <c r="O188" s="1" t="s">
        <v>542</v>
      </c>
      <c r="T188" s="1" t="s">
        <v>678</v>
      </c>
    </row>
    <row r="189" spans="1:20" x14ac:dyDescent="0.4">
      <c r="B189" s="1" t="s">
        <v>680</v>
      </c>
      <c r="C189" s="2" t="s">
        <v>5</v>
      </c>
      <c r="D189" s="1" t="s">
        <v>457</v>
      </c>
      <c r="E189" s="1" t="s">
        <v>679</v>
      </c>
      <c r="F189" s="1" t="str">
        <f>_xlfn.XLOOKUP(表格1[[#This Row],[Dish]],dish_trans!A:A,dish_trans!B:B)</f>
        <v>Nut and Oat Energy Bars</v>
      </c>
      <c r="G189" s="1" t="str">
        <f>_xlfn.XLOOKUP(表格1[[#This Row],[Dish]],dish_trans[中文菜名 (Chinese)],dish_trans[菲律賓文翻譯 (Filipino/Tagalog)])</f>
        <v>Energy Bar na may Nuts at Oats</v>
      </c>
      <c r="H189" s="1" t="str">
        <f>_xlfn.XLOOKUP(表格1[[#This Row],[Dish]],dish_trans[中文菜名 (Chinese)],dish_trans[印尼文翻譯 (Indonesian)2])</f>
        <v>Batang Energi Kacang dan Oat</v>
      </c>
      <c r="I189" s="1" t="s">
        <v>559</v>
      </c>
      <c r="J189" s="1" t="s">
        <v>7</v>
      </c>
      <c r="K189" s="1" t="s">
        <v>7</v>
      </c>
      <c r="L189" s="1" t="s">
        <v>6</v>
      </c>
      <c r="M189" s="1" t="s">
        <v>484</v>
      </c>
      <c r="N189" s="1" t="s">
        <v>462</v>
      </c>
      <c r="O189" s="1" t="s">
        <v>542</v>
      </c>
      <c r="T189" s="1" t="s">
        <v>678</v>
      </c>
    </row>
    <row r="190" spans="1:20" x14ac:dyDescent="0.4">
      <c r="A190" s="33" t="s">
        <v>682</v>
      </c>
      <c r="B190" s="1" t="s">
        <v>682</v>
      </c>
      <c r="C190" s="2" t="s">
        <v>475</v>
      </c>
      <c r="D190" s="2" t="s">
        <v>458</v>
      </c>
      <c r="E190" s="1" t="s">
        <v>681</v>
      </c>
      <c r="F190" s="1" t="str">
        <f>_xlfn.XLOOKUP(表格1[[#This Row],[Dish]],dish_trans!A:A,dish_trans!B:B)</f>
        <v>Tofu Braised in Sauce</v>
      </c>
      <c r="G190" s="1" t="str">
        <f>_xlfn.XLOOKUP(表格1[[#This Row],[Dish]],dish_trans[中文菜名 (Chinese)],dish_trans[菲律賓文翻譯 (Filipino/Tagalog)])</f>
        <v>Tokwang Nilaga sa Sarsa</v>
      </c>
      <c r="H190" s="1" t="str">
        <f>_xlfn.XLOOKUP(表格1[[#This Row],[Dish]],dish_trans[中文菜名 (Chinese)],dish_trans[印尼文翻譯 (Indonesian)2])</f>
        <v>Tahu Masak Saus</v>
      </c>
      <c r="I190" s="1" t="s">
        <v>548</v>
      </c>
      <c r="J190" s="1" t="s">
        <v>6</v>
      </c>
      <c r="K190" s="1" t="s">
        <v>6</v>
      </c>
      <c r="L190" s="1" t="s">
        <v>7</v>
      </c>
      <c r="M190" s="1" t="s">
        <v>484</v>
      </c>
      <c r="N190" s="1" t="s">
        <v>463</v>
      </c>
      <c r="O190" s="1" t="s">
        <v>544</v>
      </c>
      <c r="R190" s="2" t="s">
        <v>691</v>
      </c>
    </row>
    <row r="191" spans="1:20" x14ac:dyDescent="0.4">
      <c r="B191" s="1" t="s">
        <v>683</v>
      </c>
      <c r="C191" s="2" t="s">
        <v>475</v>
      </c>
      <c r="D191" s="1" t="s">
        <v>457</v>
      </c>
      <c r="E191" s="2" t="s">
        <v>697</v>
      </c>
      <c r="F191" s="1" t="str">
        <f>_xlfn.XLOOKUP(表格1[[#This Row],[Dish]],dish_trans!A:A,dish_trans!B:B)</f>
        <v>Stir-fried Baby Mustard Greens with Garlic</v>
      </c>
      <c r="G191" s="1" t="str">
        <f>_xlfn.XLOOKUP(表格1[[#This Row],[Dish]],dish_trans[中文菜名 (Chinese)],dish_trans[菲律賓文翻譯 (Filipino/Tagalog)])</f>
        <v>Ginisang Murang Mustasa na may Bawang</v>
      </c>
      <c r="H191" s="1" t="str">
        <f>_xlfn.XLOOKUP(表格1[[#This Row],[Dish]],dish_trans[中文菜名 (Chinese)],dish_trans[印尼文翻譯 (Indonesian)2])</f>
        <v>Sawi Muda Tumis Bawang Putih</v>
      </c>
      <c r="I191" s="1" t="s">
        <v>548</v>
      </c>
      <c r="J191" s="1" t="s">
        <v>6</v>
      </c>
      <c r="K191" s="1" t="s">
        <v>6</v>
      </c>
      <c r="L191" s="1" t="s">
        <v>7</v>
      </c>
      <c r="M191" s="1" t="s">
        <v>471</v>
      </c>
      <c r="N191" s="1" t="s">
        <v>463</v>
      </c>
      <c r="O191" s="1" t="s">
        <v>546</v>
      </c>
      <c r="R191" s="2" t="s">
        <v>691</v>
      </c>
    </row>
    <row r="192" spans="1:20" x14ac:dyDescent="0.4">
      <c r="A192" s="33" t="s">
        <v>715</v>
      </c>
      <c r="B192" s="1" t="s">
        <v>715</v>
      </c>
      <c r="C192" s="1" t="s">
        <v>475</v>
      </c>
      <c r="D192" s="1" t="s">
        <v>692</v>
      </c>
      <c r="E192" s="2" t="s">
        <v>698</v>
      </c>
      <c r="F192" s="1" t="str">
        <f>_xlfn.XLOOKUP(表格1[[#This Row],[Dish]],dish_trans!A:A,dish_trans!B:B)</f>
        <v>Garlic Steamed Pork Belly and Cabbage</v>
      </c>
      <c r="G192" s="1" t="str">
        <f>_xlfn.XLOOKUP(表格1[[#This Row],[Dish]],dish_trans[中文菜名 (Chinese)],dish_trans[菲律賓文翻譯 (Filipino/Tagalog)])</f>
        <v>Pinasingawang Liempo at Repolyo na may Bawang</v>
      </c>
      <c r="H192" s="1" t="str">
        <f>_xlfn.XLOOKUP(表格1[[#This Row],[Dish]],dish_trans[中文菜名 (Chinese)],dish_trans[印尼文翻譯 (Indonesian)2])</f>
        <v>Samcan dan Kol Kukus Bawang Putih</v>
      </c>
      <c r="I192" s="1" t="s">
        <v>548</v>
      </c>
      <c r="J192" s="1" t="s">
        <v>7</v>
      </c>
      <c r="K192" s="1" t="s">
        <v>6</v>
      </c>
      <c r="L192" s="1" t="s">
        <v>7</v>
      </c>
      <c r="M192" s="1" t="s">
        <v>461</v>
      </c>
      <c r="N192" s="1" t="s">
        <v>459</v>
      </c>
      <c r="O192" s="1" t="s">
        <v>546</v>
      </c>
      <c r="R192" s="2" t="s">
        <v>691</v>
      </c>
    </row>
    <row r="193" spans="1:18" x14ac:dyDescent="0.4">
      <c r="A193" s="33" t="s">
        <v>716</v>
      </c>
      <c r="B193" s="1" t="s">
        <v>716</v>
      </c>
      <c r="C193" s="1" t="s">
        <v>475</v>
      </c>
      <c r="D193" s="1" t="s">
        <v>692</v>
      </c>
      <c r="E193" s="6" t="s">
        <v>1188</v>
      </c>
      <c r="F193" s="1" t="str">
        <f>_xlfn.XLOOKUP(表格1[[#This Row],[Dish]],dish_trans!A:A,dish_trans!B:B)</f>
        <v>Stir-fried Baby Cucumber with Minced Meat</v>
      </c>
      <c r="G193" s="1" t="str">
        <f>_xlfn.XLOOKUP(表格1[[#This Row],[Dish]],dish_trans[中文菜名 (Chinese)],dish_trans[菲律賓文翻譯 (Filipino/Tagalog)])</f>
        <v>Ginisang Maliit na Pipino na may Giniling na Karne</v>
      </c>
      <c r="H193" s="1" t="str">
        <f>_xlfn.XLOOKUP(表格1[[#This Row],[Dish]],dish_trans[中文菜名 (Chinese)],dish_trans[印尼文翻譯 (Indonesian)2])</f>
        <v>Mentimun Muda Tumis Daging Cincang</v>
      </c>
      <c r="I193" s="1" t="s">
        <v>548</v>
      </c>
      <c r="J193" s="1" t="s">
        <v>6</v>
      </c>
      <c r="K193" s="1" t="s">
        <v>6</v>
      </c>
      <c r="L193" s="1" t="s">
        <v>7</v>
      </c>
      <c r="M193" s="1" t="s">
        <v>461</v>
      </c>
      <c r="N193" s="1" t="s">
        <v>459</v>
      </c>
      <c r="O193" s="1" t="s">
        <v>544</v>
      </c>
      <c r="R193" s="2" t="s">
        <v>691</v>
      </c>
    </row>
    <row r="194" spans="1:18" x14ac:dyDescent="0.4">
      <c r="A194" s="20" t="s">
        <v>717</v>
      </c>
      <c r="B194" s="1" t="s">
        <v>717</v>
      </c>
      <c r="C194" s="1" t="s">
        <v>475</v>
      </c>
      <c r="D194" s="1" t="s">
        <v>692</v>
      </c>
      <c r="E194" s="1" t="s">
        <v>699</v>
      </c>
      <c r="F194" s="1" t="str">
        <f>_xlfn.XLOOKUP(表格1[[#This Row],[Dish]],dish_trans!A:A,dish_trans!B:B)</f>
        <v>Winter Melon with Minced Pork Sauce</v>
      </c>
      <c r="G194" s="1" t="str">
        <f>_xlfn.XLOOKUP(表格1[[#This Row],[Dish]],dish_trans[中文菜名 (Chinese)],dish_trans[菲律賓文翻譯 (Filipino/Tagalog)])</f>
        <v>Kundol na may Sarsang Giniling na Baboy</v>
      </c>
      <c r="H194" s="1" t="str">
        <f>_xlfn.XLOOKUP(表格1[[#This Row],[Dish]],dish_trans[中文菜名 (Chinese)],dish_trans[印尼文翻譯 (Indonesian)2])</f>
        <v>Labu Air dengan Saus Babi Cincang</v>
      </c>
      <c r="I194" s="1" t="s">
        <v>548</v>
      </c>
      <c r="J194" s="1" t="s">
        <v>6</v>
      </c>
      <c r="K194" s="1" t="s">
        <v>6</v>
      </c>
      <c r="L194" s="1" t="s">
        <v>7</v>
      </c>
      <c r="M194" s="1" t="s">
        <v>461</v>
      </c>
      <c r="N194" s="1" t="s">
        <v>459</v>
      </c>
      <c r="O194" s="1" t="s">
        <v>544</v>
      </c>
      <c r="Q194" s="2" t="s">
        <v>117</v>
      </c>
      <c r="R194" s="2" t="s">
        <v>691</v>
      </c>
    </row>
    <row r="195" spans="1:18" x14ac:dyDescent="0.4">
      <c r="A195" s="33" t="s">
        <v>718</v>
      </c>
      <c r="B195" s="1" t="s">
        <v>718</v>
      </c>
      <c r="C195" s="1" t="s">
        <v>655</v>
      </c>
      <c r="D195" s="1" t="s">
        <v>692</v>
      </c>
      <c r="E195" s="1" t="s">
        <v>700</v>
      </c>
      <c r="F195" s="1" t="str">
        <f>_xlfn.XLOOKUP(表格1[[#This Row],[Dish]],dish_trans!A:A,dish_trans!B:B)</f>
        <v>Tofu and Meat Rolls</v>
      </c>
      <c r="G195" s="1" t="str">
        <f>_xlfn.XLOOKUP(表格1[[#This Row],[Dish]],dish_trans[中文菜名 (Chinese)],dish_trans[菲律賓文翻譯 (Filipino/Tagalog)])</f>
        <v>Rolyo ng Tokwa at Karne</v>
      </c>
      <c r="H195" s="1" t="str">
        <f>_xlfn.XLOOKUP(表格1[[#This Row],[Dish]],dish_trans[中文菜名 (Chinese)],dish_trans[印尼文翻譯 (Indonesian)2])</f>
        <v>Gulungan Tahu dan Daging</v>
      </c>
      <c r="I195" s="1" t="s">
        <v>548</v>
      </c>
      <c r="J195" s="1" t="s">
        <v>6</v>
      </c>
      <c r="K195" s="1" t="s">
        <v>6</v>
      </c>
      <c r="L195" s="1" t="s">
        <v>7</v>
      </c>
      <c r="M195" s="1" t="s">
        <v>461</v>
      </c>
      <c r="N195" s="1" t="s">
        <v>459</v>
      </c>
      <c r="O195" s="1" t="s">
        <v>544</v>
      </c>
      <c r="P195" s="1">
        <v>2</v>
      </c>
      <c r="R195" s="2" t="s">
        <v>691</v>
      </c>
    </row>
    <row r="196" spans="1:18" x14ac:dyDescent="0.4">
      <c r="B196" s="1" t="s">
        <v>719</v>
      </c>
      <c r="C196" s="1" t="s">
        <v>655</v>
      </c>
      <c r="D196" s="1" t="s">
        <v>692</v>
      </c>
      <c r="E196" s="1" t="s">
        <v>701</v>
      </c>
      <c r="F196" s="1" t="str">
        <f>_xlfn.XLOOKUP(表格1[[#This Row],[Dish]],dish_trans!A:A,dish_trans!B:B)</f>
        <v>Miso Pork Jowl</v>
      </c>
      <c r="G196" s="1" t="str">
        <f>_xlfn.XLOOKUP(表格1[[#This Row],[Dish]],dish_trans[中文菜名 (Chinese)],dish_trans[菲律賓文翻譯 (Filipino/Tagalog)])</f>
        <v>Pisngi ng Baboy na may Miso</v>
      </c>
      <c r="H196" s="1" t="str">
        <f>_xlfn.XLOOKUP(表格1[[#This Row],[Dish]],dish_trans[中文菜名 (Chinese)],dish_trans[印尼文翻譯 (Indonesian)2])</f>
        <v>Pipi Babi Miso</v>
      </c>
      <c r="I196" s="1" t="s">
        <v>548</v>
      </c>
      <c r="J196" s="1" t="s">
        <v>6</v>
      </c>
      <c r="K196" s="1" t="s">
        <v>6</v>
      </c>
      <c r="L196" s="1" t="s">
        <v>7</v>
      </c>
      <c r="M196" s="1" t="s">
        <v>461</v>
      </c>
      <c r="N196" s="1" t="s">
        <v>459</v>
      </c>
      <c r="O196" s="1" t="s">
        <v>544</v>
      </c>
      <c r="R196" s="2" t="s">
        <v>691</v>
      </c>
    </row>
    <row r="197" spans="1:18" x14ac:dyDescent="0.4">
      <c r="A197" s="33" t="s">
        <v>720</v>
      </c>
      <c r="B197" s="1" t="s">
        <v>720</v>
      </c>
      <c r="C197" s="1" t="s">
        <v>655</v>
      </c>
      <c r="D197" s="1" t="s">
        <v>692</v>
      </c>
      <c r="E197" s="1" t="s">
        <v>702</v>
      </c>
      <c r="F197" s="1" t="str">
        <f>_xlfn.XLOOKUP(表格1[[#This Row],[Dish]],dish_trans!A:A,dish_trans!B:B)</f>
        <v>Stir-fried Pork with Onions</v>
      </c>
      <c r="G197" s="1" t="str">
        <f>_xlfn.XLOOKUP(表格1[[#This Row],[Dish]],dish_trans[中文菜名 (Chinese)],dish_trans[菲律賓文翻譯 (Filipino/Tagalog)])</f>
        <v>Ginisang Baboy na may Sibuyas</v>
      </c>
      <c r="H197" s="1" t="str">
        <f>_xlfn.XLOOKUP(表格1[[#This Row],[Dish]],dish_trans[中文菜名 (Chinese)],dish_trans[印尼文翻譯 (Indonesian)2])</f>
        <v>Babi Tumis Bawang Bombai</v>
      </c>
      <c r="I197" s="1" t="s">
        <v>548</v>
      </c>
      <c r="J197" s="1" t="s">
        <v>6</v>
      </c>
      <c r="K197" s="1" t="s">
        <v>6</v>
      </c>
      <c r="L197" s="1" t="s">
        <v>7</v>
      </c>
      <c r="M197" s="1" t="s">
        <v>461</v>
      </c>
      <c r="N197" s="1" t="s">
        <v>459</v>
      </c>
      <c r="O197" s="1" t="s">
        <v>544</v>
      </c>
      <c r="R197" s="2" t="s">
        <v>691</v>
      </c>
    </row>
    <row r="198" spans="1:18" x14ac:dyDescent="0.4">
      <c r="B198" s="1" t="s">
        <v>721</v>
      </c>
      <c r="C198" s="1" t="s">
        <v>475</v>
      </c>
      <c r="D198" s="1" t="s">
        <v>692</v>
      </c>
      <c r="E198" s="6" t="s">
        <v>703</v>
      </c>
      <c r="F198" s="1" t="str">
        <f>_xlfn.XLOOKUP(表格1[[#This Row],[Dish]],dish_trans!A:A,dish_trans!B:B)</f>
        <v>Braised Pork Belly Ribs with Onions</v>
      </c>
      <c r="G198" s="1" t="str">
        <f>_xlfn.XLOOKUP(表格1[[#This Row],[Dish]],dish_trans[中文菜名 (Chinese)],dish_trans[菲律賓文翻譯 (Filipino/Tagalog)])</f>
        <v>Nilagang Tadyang at Liempo ng Baboy na may Sibuyas</v>
      </c>
      <c r="H198" s="1" t="str">
        <f>_xlfn.XLOOKUP(表格1[[#This Row],[Dish]],dish_trans[中文菜名 (Chinese)],dish_trans[印尼文翻譯 (Indonesian)2])</f>
        <v>Iga Perut Babi Masak Bawang Bombai</v>
      </c>
      <c r="I198" s="1" t="s">
        <v>548</v>
      </c>
      <c r="J198" s="1" t="s">
        <v>7</v>
      </c>
      <c r="K198" s="1" t="s">
        <v>6</v>
      </c>
      <c r="L198" s="1" t="s">
        <v>7</v>
      </c>
      <c r="M198" s="1" t="s">
        <v>461</v>
      </c>
      <c r="N198" s="1" t="s">
        <v>459</v>
      </c>
      <c r="O198" s="1" t="s">
        <v>544</v>
      </c>
      <c r="R198" s="2" t="s">
        <v>691</v>
      </c>
    </row>
    <row r="199" spans="1:18" x14ac:dyDescent="0.4">
      <c r="A199" s="33" t="s">
        <v>722</v>
      </c>
      <c r="B199" s="1" t="s">
        <v>722</v>
      </c>
      <c r="C199" s="1" t="s">
        <v>655</v>
      </c>
      <c r="D199" s="1" t="s">
        <v>692</v>
      </c>
      <c r="E199" s="1" t="s">
        <v>704</v>
      </c>
      <c r="F199" s="1" t="str">
        <f>_xlfn.XLOOKUP(表格1[[#This Row],[Dish]],dish_trans!A:A,dish_trans!B:B)</f>
        <v>Miso Pork Belly with Bell Peppers and Zucchini</v>
      </c>
      <c r="G199" s="1" t="str">
        <f>_xlfn.XLOOKUP(表格1[[#This Row],[Dish]],dish_trans[中文菜名 (Chinese)],dish_trans[菲律賓文翻譯 (Filipino/Tagalog)])</f>
        <v>Liempo sa Miso na may Bell Pepper at Zucchini</v>
      </c>
      <c r="H199" s="1" t="str">
        <f>_xlfn.XLOOKUP(表格1[[#This Row],[Dish]],dish_trans[中文菜名 (Chinese)],dish_trans[印尼文翻譯 (Indonesian)2])</f>
        <v>Samcan Miso dengan Paprika dan Zukini</v>
      </c>
      <c r="I199" s="1" t="s">
        <v>548</v>
      </c>
      <c r="J199" s="1" t="s">
        <v>6</v>
      </c>
      <c r="K199" s="1" t="s">
        <v>6</v>
      </c>
      <c r="L199" s="1" t="s">
        <v>7</v>
      </c>
      <c r="M199" s="1" t="s">
        <v>461</v>
      </c>
      <c r="N199" s="1" t="s">
        <v>459</v>
      </c>
      <c r="O199" s="1" t="s">
        <v>544</v>
      </c>
      <c r="R199" s="2" t="s">
        <v>691</v>
      </c>
    </row>
    <row r="200" spans="1:18" x14ac:dyDescent="0.4">
      <c r="B200" s="1" t="s">
        <v>723</v>
      </c>
      <c r="C200" s="1" t="s">
        <v>475</v>
      </c>
      <c r="D200" s="1" t="s">
        <v>692</v>
      </c>
      <c r="E200" s="1" t="s">
        <v>705</v>
      </c>
      <c r="F200" s="1" t="str">
        <f>_xlfn.XLOOKUP(表格1[[#This Row],[Dish]],dish_trans!A:A,dish_trans!B:B)</f>
        <v>Meat-stuffed Bell Peppers</v>
      </c>
      <c r="G200" s="1" t="str">
        <f>_xlfn.XLOOKUP(表格1[[#This Row],[Dish]],dish_trans[中文菜名 (Chinese)],dish_trans[菲律賓文翻譯 (Filipino/Tagalog)])</f>
        <v>Bell Pepper na Pinalamanan ng Karne</v>
      </c>
      <c r="H200" s="1" t="str">
        <f>_xlfn.XLOOKUP(表格1[[#This Row],[Dish]],dish_trans[中文菜名 (Chinese)],dish_trans[印尼文翻譯 (Indonesian)2])</f>
        <v>Paprika Isi Daging</v>
      </c>
      <c r="I200" s="1" t="s">
        <v>548</v>
      </c>
      <c r="J200" s="1" t="s">
        <v>6</v>
      </c>
      <c r="K200" s="1" t="s">
        <v>6</v>
      </c>
      <c r="L200" s="1" t="s">
        <v>7</v>
      </c>
      <c r="M200" s="1" t="s">
        <v>461</v>
      </c>
      <c r="N200" s="1" t="s">
        <v>459</v>
      </c>
      <c r="O200" s="1" t="s">
        <v>544</v>
      </c>
      <c r="P200" s="1">
        <v>3</v>
      </c>
      <c r="R200" s="2" t="s">
        <v>691</v>
      </c>
    </row>
    <row r="201" spans="1:18" x14ac:dyDescent="0.4">
      <c r="A201" s="33" t="s">
        <v>724</v>
      </c>
      <c r="B201" s="1" t="s">
        <v>724</v>
      </c>
      <c r="C201" s="1" t="s">
        <v>655</v>
      </c>
      <c r="D201" s="1" t="s">
        <v>692</v>
      </c>
      <c r="E201" s="1" t="s">
        <v>706</v>
      </c>
      <c r="F201" s="1" t="str">
        <f>_xlfn.XLOOKUP(表格1[[#This Row],[Dish]],dish_trans!A:A,dish_trans!B:B)</f>
        <v>Stir-fried Pork with Vegetables</v>
      </c>
      <c r="G201" s="1" t="str">
        <f>_xlfn.XLOOKUP(表格1[[#This Row],[Dish]],dish_trans[中文菜名 (Chinese)],dish_trans[菲律賓文翻譯 (Filipino/Tagalog)])</f>
        <v>Ginisang Baboy na may Gulay</v>
      </c>
      <c r="H201" s="1" t="str">
        <f>_xlfn.XLOOKUP(表格1[[#This Row],[Dish]],dish_trans[中文菜名 (Chinese)],dish_trans[印尼文翻譯 (Indonesian)2])</f>
        <v>Babi Tumis Sayuran</v>
      </c>
      <c r="I201" s="1" t="s">
        <v>548</v>
      </c>
      <c r="J201" s="1" t="s">
        <v>6</v>
      </c>
      <c r="K201" s="1" t="s">
        <v>6</v>
      </c>
      <c r="L201" s="1" t="s">
        <v>7</v>
      </c>
      <c r="M201" s="1" t="s">
        <v>461</v>
      </c>
      <c r="N201" s="1" t="s">
        <v>459</v>
      </c>
      <c r="O201" s="1" t="s">
        <v>544</v>
      </c>
      <c r="R201" s="2" t="s">
        <v>691</v>
      </c>
    </row>
    <row r="202" spans="1:18" x14ac:dyDescent="0.4">
      <c r="B202" s="1" t="s">
        <v>725</v>
      </c>
      <c r="C202" s="1" t="s">
        <v>475</v>
      </c>
      <c r="D202" s="1" t="s">
        <v>692</v>
      </c>
      <c r="E202" s="1" t="s">
        <v>707</v>
      </c>
      <c r="F202" s="1" t="str">
        <f>_xlfn.XLOOKUP(表格1[[#This Row],[Dish]],dish_trans!A:A,dish_trans!B:B)</f>
        <v>Pork Ribs Stewed with Tomatoes and Potatoes</v>
      </c>
      <c r="G202" s="1" t="str">
        <f>_xlfn.XLOOKUP(表格1[[#This Row],[Dish]],dish_trans[中文菜名 (Chinese)],dish_trans[菲律賓文翻譯 (Filipino/Tagalog)])</f>
        <v>Nilagang Tadyang ng Baboy na may Kamatis at Patatas</v>
      </c>
      <c r="H202" s="1" t="str">
        <f>_xlfn.XLOOKUP(表格1[[#This Row],[Dish]],dish_trans[中文菜名 (Chinese)],dish_trans[印尼文翻譯 (Indonesian)2])</f>
        <v>Iga Babi Rebus Tomat dan Kentang</v>
      </c>
      <c r="I202" s="1" t="s">
        <v>548</v>
      </c>
      <c r="J202" s="1" t="s">
        <v>7</v>
      </c>
      <c r="K202" s="1" t="s">
        <v>6</v>
      </c>
      <c r="L202" s="1" t="s">
        <v>7</v>
      </c>
      <c r="M202" s="1" t="s">
        <v>461</v>
      </c>
      <c r="N202" s="1" t="s">
        <v>459</v>
      </c>
      <c r="O202" s="1" t="s">
        <v>544</v>
      </c>
      <c r="R202" s="2" t="s">
        <v>691</v>
      </c>
    </row>
    <row r="203" spans="1:18" x14ac:dyDescent="0.4">
      <c r="B203" s="1" t="s">
        <v>726</v>
      </c>
      <c r="C203" s="1" t="s">
        <v>475</v>
      </c>
      <c r="D203" s="1" t="s">
        <v>692</v>
      </c>
      <c r="E203" s="1" t="s">
        <v>708</v>
      </c>
      <c r="F203" s="1" t="str">
        <f>_xlfn.XLOOKUP(表格1[[#This Row],[Dish]],dish_trans!A:A,dish_trans!B:B)</f>
        <v>Tender Pan-fried Pork Chops</v>
      </c>
      <c r="G203" s="1" t="str">
        <f>_xlfn.XLOOKUP(表格1[[#This Row],[Dish]],dish_trans[中文菜名 (Chinese)],dish_trans[菲律賓文翻譯 (Filipino/Tagalog)])</f>
        <v>Malambot na Pinritong Pork Chop</v>
      </c>
      <c r="H203" s="1" t="str">
        <f>_xlfn.XLOOKUP(表格1[[#This Row],[Dish]],dish_trans[中文菜名 (Chinese)],dish_trans[印尼文翻譯 (Indonesian)2])</f>
        <v>Potongan Babi Empuk Goreng Wajan</v>
      </c>
      <c r="I203" s="1" t="s">
        <v>548</v>
      </c>
      <c r="J203" s="1" t="s">
        <v>6</v>
      </c>
      <c r="K203" s="1" t="s">
        <v>6</v>
      </c>
      <c r="L203" s="1" t="s">
        <v>7</v>
      </c>
      <c r="M203" s="1" t="s">
        <v>461</v>
      </c>
      <c r="N203" s="1" t="s">
        <v>459</v>
      </c>
      <c r="O203" s="1" t="s">
        <v>544</v>
      </c>
      <c r="R203" s="2" t="s">
        <v>691</v>
      </c>
    </row>
    <row r="204" spans="1:18" x14ac:dyDescent="0.4">
      <c r="A204" s="33" t="s">
        <v>727</v>
      </c>
      <c r="B204" s="1" t="s">
        <v>727</v>
      </c>
      <c r="C204" s="1" t="s">
        <v>475</v>
      </c>
      <c r="D204" s="1" t="s">
        <v>692</v>
      </c>
      <c r="E204" s="1" t="s">
        <v>709</v>
      </c>
      <c r="F204" s="1" t="str">
        <f>_xlfn.XLOOKUP(表格1[[#This Row],[Dish]],dish_trans!A:A,dish_trans!B:B)</f>
        <v>Meat Stewed with Garlic Shoots and Radish</v>
      </c>
      <c r="G204" s="1" t="str">
        <f>_xlfn.XLOOKUP(表格1[[#This Row],[Dish]],dish_trans[中文菜名 (Chinese)],dish_trans[菲律賓文翻譯 (Filipino/Tagalog)])</f>
        <v>Nilagang Karne na may Usbong ng Bawang at Labanos</v>
      </c>
      <c r="H204" s="1" t="str">
        <f>_xlfn.XLOOKUP(表格1[[#This Row],[Dish]],dish_trans[中文菜名 (Chinese)],dish_trans[印尼文翻譯 (Indonesian)2])</f>
        <v>Daging Rebus Tunas Bawang dan Lobak</v>
      </c>
      <c r="I204" s="1" t="s">
        <v>548</v>
      </c>
      <c r="J204" s="1" t="s">
        <v>7</v>
      </c>
      <c r="K204" s="1" t="s">
        <v>6</v>
      </c>
      <c r="L204" s="1" t="s">
        <v>7</v>
      </c>
      <c r="M204" s="1" t="s">
        <v>461</v>
      </c>
      <c r="N204" s="1" t="s">
        <v>459</v>
      </c>
      <c r="O204" s="1" t="s">
        <v>544</v>
      </c>
      <c r="R204" s="2" t="s">
        <v>691</v>
      </c>
    </row>
    <row r="205" spans="1:18" x14ac:dyDescent="0.4">
      <c r="B205" s="1" t="s">
        <v>728</v>
      </c>
      <c r="C205" s="1" t="s">
        <v>646</v>
      </c>
      <c r="D205" s="1" t="s">
        <v>692</v>
      </c>
      <c r="E205" s="1" t="s">
        <v>710</v>
      </c>
      <c r="F205" s="1" t="str">
        <f>_xlfn.XLOOKUP(表格1[[#This Row],[Dish]],dish_trans!A:A,dish_trans!B:B)</f>
        <v>Thin-bone Tender Pork Shoulder Chops with Garlic and Soy Sauce</v>
      </c>
      <c r="G205" s="1" t="str">
        <f>_xlfn.XLOOKUP(表格1[[#This Row],[Dish]],dish_trans[中文菜名 (Chinese)],dish_trans[菲律賓文翻譯 (Filipino/Tagalog)])</f>
        <v>Malambot na Pork Shoulder Chop na Manipis ang Buto sa Bawang at Toyo</v>
      </c>
      <c r="H205" s="1" t="str">
        <f>_xlfn.XLOOKUP(表格1[[#This Row],[Dish]],dish_trans[中文菜名 (Chinese)],dish_trans[印尼文翻譯 (Indonesian)2])</f>
        <v>Potongan Bahu Babi Empuk Bertulang Tipis dengan Bawang Putih dan Kecap Asin</v>
      </c>
      <c r="I205" s="1" t="s">
        <v>548</v>
      </c>
      <c r="J205" s="1" t="s">
        <v>7</v>
      </c>
      <c r="K205" s="1" t="s">
        <v>6</v>
      </c>
      <c r="L205" s="1" t="s">
        <v>7</v>
      </c>
      <c r="M205" s="1" t="s">
        <v>461</v>
      </c>
      <c r="N205" s="1" t="s">
        <v>459</v>
      </c>
      <c r="O205" s="1" t="s">
        <v>544</v>
      </c>
      <c r="R205" s="2" t="s">
        <v>691</v>
      </c>
    </row>
    <row r="206" spans="1:18" x14ac:dyDescent="0.4">
      <c r="B206" s="1" t="s">
        <v>729</v>
      </c>
      <c r="C206" s="1" t="s">
        <v>475</v>
      </c>
      <c r="D206" s="1" t="s">
        <v>692</v>
      </c>
      <c r="E206" s="1" t="s">
        <v>711</v>
      </c>
      <c r="F206" s="1" t="str">
        <f>_xlfn.XLOOKUP(表格1[[#This Row],[Dish]],dish_trans!A:A,dish_trans!B:B)</f>
        <v>Honey-glazed Pork Ribs (Belly Ribs)</v>
      </c>
      <c r="G206" s="1" t="str">
        <f>_xlfn.XLOOKUP(表格1[[#This Row],[Dish]],dish_trans[中文菜名 (Chinese)],dish_trans[菲律賓文翻譯 (Filipino/Tagalog)])</f>
        <v>Tadyang ng Baboy na may Pulot (Tadyang sa Liempo)</v>
      </c>
      <c r="H206" s="1" t="str">
        <f>_xlfn.XLOOKUP(表格1[[#This Row],[Dish]],dish_trans[中文菜名 (Chinese)],dish_trans[印尼文翻譯 (Indonesian)2])</f>
        <v>Iga Babi Saus Madu (Iga Perut)</v>
      </c>
      <c r="I206" s="1" t="s">
        <v>548</v>
      </c>
      <c r="J206" s="1" t="s">
        <v>7</v>
      </c>
      <c r="K206" s="1" t="s">
        <v>6</v>
      </c>
      <c r="L206" s="1" t="s">
        <v>7</v>
      </c>
      <c r="M206" s="1" t="s">
        <v>461</v>
      </c>
      <c r="N206" s="1" t="s">
        <v>459</v>
      </c>
      <c r="O206" s="1" t="s">
        <v>544</v>
      </c>
      <c r="R206" s="2" t="s">
        <v>691</v>
      </c>
    </row>
    <row r="207" spans="1:18" x14ac:dyDescent="0.4">
      <c r="B207" s="1" t="s">
        <v>739</v>
      </c>
      <c r="C207" s="1" t="s">
        <v>655</v>
      </c>
      <c r="D207" s="1" t="s">
        <v>692</v>
      </c>
      <c r="E207" s="1" t="s">
        <v>730</v>
      </c>
      <c r="F207" s="1" t="str">
        <f>_xlfn.XLOOKUP(表格1[[#This Row],[Dish]],dish_trans!A:A,dish_trans!B:B)</f>
        <v>Japanese-style Chicken Wings Stewed with Radish</v>
      </c>
      <c r="G207" s="1" t="str">
        <f>_xlfn.XLOOKUP(表格1[[#This Row],[Dish]],dish_trans[中文菜名 (Chinese)],dish_trans[菲律賓文翻譯 (Filipino/Tagalog)])</f>
        <v>Pakpak ng Manok na Nilaga sa Labanos na Estilong Hapones</v>
      </c>
      <c r="H207" s="1" t="str">
        <f>_xlfn.XLOOKUP(表格1[[#This Row],[Dish]],dish_trans[中文菜名 (Chinese)],dish_trans[印尼文翻譯 (Indonesian)2])</f>
        <v>Sayap Ayam Rebus Lobak ala Jepang</v>
      </c>
      <c r="I207" s="1" t="s">
        <v>548</v>
      </c>
      <c r="J207" s="1" t="s">
        <v>6</v>
      </c>
      <c r="K207" s="1" t="s">
        <v>6</v>
      </c>
      <c r="L207" s="1" t="s">
        <v>7</v>
      </c>
      <c r="M207" s="1" t="s">
        <v>501</v>
      </c>
      <c r="N207" s="1" t="s">
        <v>459</v>
      </c>
      <c r="O207" s="1" t="s">
        <v>544</v>
      </c>
      <c r="R207" s="2" t="s">
        <v>691</v>
      </c>
    </row>
    <row r="208" spans="1:18" x14ac:dyDescent="0.4">
      <c r="B208" s="1" t="s">
        <v>740</v>
      </c>
      <c r="C208" s="1" t="s">
        <v>652</v>
      </c>
      <c r="D208" s="1" t="s">
        <v>692</v>
      </c>
      <c r="E208" s="1" t="s">
        <v>731</v>
      </c>
      <c r="F208" s="1" t="str">
        <f>_xlfn.XLOOKUP(表格1[[#This Row],[Dish]],dish_trans!A:A,dish_trans!B:B)</f>
        <v>Chicken Braised with Sweet Potatoes and Plums</v>
      </c>
      <c r="G208" s="1" t="str">
        <f>_xlfn.XLOOKUP(表格1[[#This Row],[Dish]],dish_trans[中文菜名 (Chinese)],dish_trans[菲律賓文翻譯 (Filipino/Tagalog)])</f>
        <v>Manok na Nilaga sa Kamote at Plum</v>
      </c>
      <c r="H208" s="1" t="str">
        <f>_xlfn.XLOOKUP(表格1[[#This Row],[Dish]],dish_trans[中文菜名 (Chinese)],dish_trans[印尼文翻譯 (Indonesian)2])</f>
        <v>Ayam Masak Ubi Jalar dan Plum</v>
      </c>
      <c r="I208" s="1" t="s">
        <v>548</v>
      </c>
      <c r="J208" s="1" t="s">
        <v>6</v>
      </c>
      <c r="K208" s="1" t="s">
        <v>6</v>
      </c>
      <c r="L208" s="1" t="s">
        <v>7</v>
      </c>
      <c r="M208" s="1" t="s">
        <v>501</v>
      </c>
      <c r="N208" s="1" t="s">
        <v>459</v>
      </c>
      <c r="O208" s="1" t="s">
        <v>544</v>
      </c>
      <c r="R208" s="2" t="s">
        <v>691</v>
      </c>
    </row>
    <row r="209" spans="1:18" x14ac:dyDescent="0.4">
      <c r="B209" s="1" t="s">
        <v>741</v>
      </c>
      <c r="C209" s="1" t="s">
        <v>655</v>
      </c>
      <c r="D209" s="1" t="s">
        <v>692</v>
      </c>
      <c r="E209" s="1" t="s">
        <v>732</v>
      </c>
      <c r="F209" s="1" t="str">
        <f>_xlfn.XLOOKUP(表格1[[#This Row],[Dish]],dish_trans!A:A,dish_trans!B:B)</f>
        <v>Minced Chicken with Edamame and Corn in Tomato Sauce</v>
      </c>
      <c r="G209" s="1" t="str">
        <f>_xlfn.XLOOKUP(表格1[[#This Row],[Dish]],dish_trans[中文菜名 (Chinese)],dish_trans[菲律賓文翻譯 (Filipino/Tagalog)])</f>
        <v>Giniling na Manok na may Edamame at Mais sa Sarsang Kamatis</v>
      </c>
      <c r="H209" s="1" t="str">
        <f>_xlfn.XLOOKUP(表格1[[#This Row],[Dish]],dish_trans[中文菜名 (Chinese)],dish_trans[印尼文翻譯 (Indonesian)2])</f>
        <v>Ayam Cincang dengan Edamame dan Jagung Saus Tomat</v>
      </c>
      <c r="I209" s="1" t="s">
        <v>548</v>
      </c>
      <c r="J209" s="1" t="s">
        <v>6</v>
      </c>
      <c r="K209" s="1" t="s">
        <v>6</v>
      </c>
      <c r="L209" s="1" t="s">
        <v>7</v>
      </c>
      <c r="M209" s="1" t="s">
        <v>501</v>
      </c>
      <c r="N209" s="1" t="s">
        <v>459</v>
      </c>
      <c r="O209" s="1" t="s">
        <v>544</v>
      </c>
      <c r="R209" s="2" t="s">
        <v>691</v>
      </c>
    </row>
    <row r="210" spans="1:18" x14ac:dyDescent="0.4">
      <c r="B210" s="1" t="s">
        <v>742</v>
      </c>
      <c r="C210" s="1" t="s">
        <v>652</v>
      </c>
      <c r="D210" s="1" t="s">
        <v>692</v>
      </c>
      <c r="E210" s="6" t="s">
        <v>733</v>
      </c>
      <c r="F210" s="1" t="str">
        <f>_xlfn.XLOOKUP(表格1[[#This Row],[Dish]],dish_trans!A:A,dish_trans!B:B)</f>
        <v>Chicken Braised with Shiitake Mushrooms and Green Bamboo Shoots</v>
      </c>
      <c r="G210" s="1" t="str">
        <f>_xlfn.XLOOKUP(表格1[[#This Row],[Dish]],dish_trans[中文菜名 (Chinese)],dish_trans[菲律賓文翻譯 (Filipino/Tagalog)])</f>
        <v>Manok na Nilaga sa Shiitake at Labong na Berdeng Kawayan</v>
      </c>
      <c r="H210" s="1" t="str">
        <f>_xlfn.XLOOKUP(表格1[[#This Row],[Dish]],dish_trans[中文菜名 (Chinese)],dish_trans[印尼文翻譯 (Indonesian)2])</f>
        <v>Ayam Masak Jamur Shiitake dan Rebung Bambu Hijau</v>
      </c>
      <c r="I210" s="1" t="s">
        <v>548</v>
      </c>
      <c r="J210" s="1" t="s">
        <v>6</v>
      </c>
      <c r="K210" s="1" t="s">
        <v>6</v>
      </c>
      <c r="L210" s="1" t="s">
        <v>7</v>
      </c>
      <c r="M210" s="1" t="s">
        <v>501</v>
      </c>
      <c r="N210" s="1" t="s">
        <v>459</v>
      </c>
      <c r="O210" s="1" t="s">
        <v>544</v>
      </c>
      <c r="R210" s="2" t="s">
        <v>691</v>
      </c>
    </row>
    <row r="211" spans="1:18" x14ac:dyDescent="0.4">
      <c r="B211" s="1" t="s">
        <v>743</v>
      </c>
      <c r="C211" s="1" t="s">
        <v>646</v>
      </c>
      <c r="D211" s="1" t="s">
        <v>692</v>
      </c>
      <c r="E211" s="1" t="s">
        <v>734</v>
      </c>
      <c r="F211" s="1" t="str">
        <f>_xlfn.XLOOKUP(表格1[[#This Row],[Dish]],dish_trans!A:A,dish_trans!B:B)</f>
        <v>Pan-fried Chicken Thigh Steak with Zucchini</v>
      </c>
      <c r="G211" s="1" t="str">
        <f>_xlfn.XLOOKUP(表格1[[#This Row],[Dish]],dish_trans[中文菜名 (Chinese)],dish_trans[菲律賓文翻譯 (Filipino/Tagalog)])</f>
        <v>Pinritong Steak ng Hita ng Manok na may Zucchini</v>
      </c>
      <c r="H211" s="1" t="str">
        <f>_xlfn.XLOOKUP(表格1[[#This Row],[Dish]],dish_trans[中文菜名 (Chinese)],dish_trans[印尼文翻譯 (Indonesian)2])</f>
        <v>Steik Paha Ayam Goreng Wajan dengan Zukini</v>
      </c>
      <c r="I211" s="1" t="s">
        <v>548</v>
      </c>
      <c r="J211" s="1" t="s">
        <v>6</v>
      </c>
      <c r="K211" s="1" t="s">
        <v>6</v>
      </c>
      <c r="L211" s="1" t="s">
        <v>7</v>
      </c>
      <c r="M211" s="1" t="s">
        <v>501</v>
      </c>
      <c r="N211" s="1" t="s">
        <v>459</v>
      </c>
      <c r="O211" s="1" t="s">
        <v>546</v>
      </c>
      <c r="R211" s="2" t="s">
        <v>691</v>
      </c>
    </row>
    <row r="212" spans="1:18" x14ac:dyDescent="0.4">
      <c r="B212" s="1" t="s">
        <v>744</v>
      </c>
      <c r="C212" s="1" t="s">
        <v>652</v>
      </c>
      <c r="D212" s="1" t="s">
        <v>692</v>
      </c>
      <c r="E212" s="1" t="s">
        <v>735</v>
      </c>
      <c r="F212" s="1" t="str">
        <f>_xlfn.XLOOKUP(表格1[[#This Row],[Dish]],dish_trans!A:A,dish_trans!B:B)</f>
        <v>Chicken Wings Braised with Kelp</v>
      </c>
      <c r="G212" s="1" t="str">
        <f>_xlfn.XLOOKUP(表格1[[#This Row],[Dish]],dish_trans[中文菜名 (Chinese)],dish_trans[菲律賓文翻譯 (Filipino/Tagalog)])</f>
        <v>Pakpak ng Manok na Nilaga sa Toyo at Kelp</v>
      </c>
      <c r="H212" s="1" t="str">
        <f>_xlfn.XLOOKUP(表格1[[#This Row],[Dish]],dish_trans[中文菜名 (Chinese)],dish_trans[印尼文翻譯 (Indonesian)2])</f>
        <v>Sayap Ayam Masak Kecap dan Rumput Laut Kelp</v>
      </c>
      <c r="I212" s="1" t="s">
        <v>548</v>
      </c>
      <c r="J212" s="1" t="s">
        <v>6</v>
      </c>
      <c r="K212" s="1" t="s">
        <v>6</v>
      </c>
      <c r="L212" s="1" t="s">
        <v>7</v>
      </c>
      <c r="M212" s="1" t="s">
        <v>501</v>
      </c>
      <c r="N212" s="1" t="s">
        <v>459</v>
      </c>
      <c r="O212" s="1" t="s">
        <v>544</v>
      </c>
      <c r="R212" s="2" t="s">
        <v>691</v>
      </c>
    </row>
    <row r="213" spans="1:18" x14ac:dyDescent="0.4">
      <c r="B213" s="1" t="s">
        <v>745</v>
      </c>
      <c r="C213" s="1" t="s">
        <v>652</v>
      </c>
      <c r="D213" s="1" t="s">
        <v>692</v>
      </c>
      <c r="E213" s="1" t="s">
        <v>736</v>
      </c>
      <c r="F213" s="1" t="str">
        <f>_xlfn.XLOOKUP(表格1[[#This Row],[Dish]],dish_trans!A:A,dish_trans!B:B)</f>
        <v>Chicken with Spring Onion Oil</v>
      </c>
      <c r="G213" s="1" t="str">
        <f>_xlfn.XLOOKUP(表格1[[#This Row],[Dish]],dish_trans[中文菜名 (Chinese)],dish_trans[菲律賓文翻譯 (Filipino/Tagalog)])</f>
        <v>Manok na Binuhusan ng Langis ng Dahon ng Sibuyas</v>
      </c>
      <c r="H213" s="1" t="str">
        <f>_xlfn.XLOOKUP(表格1[[#This Row],[Dish]],dish_trans[中文菜名 (Chinese)],dish_trans[印尼文翻譯 (Indonesian)2])</f>
        <v>Ayam Siram Minyak Daun Bawang</v>
      </c>
      <c r="I213" s="1" t="s">
        <v>548</v>
      </c>
      <c r="J213" s="1" t="s">
        <v>6</v>
      </c>
      <c r="K213" s="1" t="s">
        <v>6</v>
      </c>
      <c r="L213" s="1" t="s">
        <v>7</v>
      </c>
      <c r="M213" s="1" t="s">
        <v>501</v>
      </c>
      <c r="N213" s="1" t="s">
        <v>459</v>
      </c>
      <c r="O213" s="1" t="s">
        <v>546</v>
      </c>
      <c r="R213" s="2" t="s">
        <v>691</v>
      </c>
    </row>
    <row r="214" spans="1:18" x14ac:dyDescent="0.4">
      <c r="A214" s="33" t="s">
        <v>746</v>
      </c>
      <c r="B214" s="1" t="s">
        <v>746</v>
      </c>
      <c r="C214" s="1" t="s">
        <v>652</v>
      </c>
      <c r="D214" s="1" t="s">
        <v>692</v>
      </c>
      <c r="E214" s="1" t="s">
        <v>737</v>
      </c>
      <c r="F214" s="1" t="str">
        <f>_xlfn.XLOOKUP(表格1[[#This Row],[Dish]],dish_trans!A:A,dish_trans!B:B)</f>
        <v>Stir-fried Tender Chicken with Asparagus, Bell Peppers and Pineapple</v>
      </c>
      <c r="G214" s="1" t="str">
        <f>_xlfn.XLOOKUP(表格1[[#This Row],[Dish]],dish_trans[中文菜名 (Chinese)],dish_trans[菲律賓文翻譯 (Filipino/Tagalog)])</f>
        <v>Ginisang Malambot na Manok na may Asparagus, Bell Pepper at Pinya</v>
      </c>
      <c r="H214" s="1" t="str">
        <f>_xlfn.XLOOKUP(表格1[[#This Row],[Dish]],dish_trans[中文菜名 (Chinese)],dish_trans[印尼文翻譯 (Indonesian)2])</f>
        <v>Ayam Empuk Tumis Asparagus, Paprika dan Nanas</v>
      </c>
      <c r="I214" s="1" t="s">
        <v>548</v>
      </c>
      <c r="J214" s="1" t="s">
        <v>6</v>
      </c>
      <c r="K214" s="1" t="s">
        <v>6</v>
      </c>
      <c r="L214" s="1" t="s">
        <v>7</v>
      </c>
      <c r="M214" s="1" t="s">
        <v>501</v>
      </c>
      <c r="N214" s="1" t="s">
        <v>459</v>
      </c>
      <c r="O214" s="1" t="s">
        <v>546</v>
      </c>
      <c r="R214" s="2" t="s">
        <v>691</v>
      </c>
    </row>
    <row r="215" spans="1:18" x14ac:dyDescent="0.4">
      <c r="B215" s="1" t="s">
        <v>747</v>
      </c>
      <c r="C215" s="1" t="s">
        <v>655</v>
      </c>
      <c r="D215" s="1" t="s">
        <v>692</v>
      </c>
      <c r="E215" s="1" t="s">
        <v>738</v>
      </c>
      <c r="F215" s="1" t="str">
        <f>_xlfn.XLOOKUP(表格1[[#This Row],[Dish]],dish_trans!A:A,dish_trans!B:B)</f>
        <v>Salt Koji Chicken Karaage</v>
      </c>
      <c r="G215" s="1" t="str">
        <f>_xlfn.XLOOKUP(表格1[[#This Row],[Dish]],dish_trans[中文菜名 (Chinese)],dish_trans[菲律賓文翻譯 (Filipino/Tagalog)])</f>
        <v>Chicken Karaage na may Salt Koji</v>
      </c>
      <c r="H215" s="1" t="str">
        <f>_xlfn.XLOOKUP(表格1[[#This Row],[Dish]],dish_trans[中文菜名 (Chinese)],dish_trans[印尼文翻譯 (Indonesian)2])</f>
        <v>Karaage Ayam Koji Garam</v>
      </c>
      <c r="I215" s="1" t="s">
        <v>548</v>
      </c>
      <c r="J215" s="1" t="s">
        <v>6</v>
      </c>
      <c r="K215" s="1" t="s">
        <v>6</v>
      </c>
      <c r="L215" s="1" t="s">
        <v>7</v>
      </c>
      <c r="M215" s="1" t="s">
        <v>501</v>
      </c>
      <c r="N215" s="1" t="s">
        <v>459</v>
      </c>
      <c r="O215" s="1" t="s">
        <v>544</v>
      </c>
      <c r="R215" s="2" t="s">
        <v>691</v>
      </c>
    </row>
    <row r="216" spans="1:18" x14ac:dyDescent="0.4">
      <c r="B216" s="1" t="s">
        <v>759</v>
      </c>
      <c r="C216" s="1" t="s">
        <v>652</v>
      </c>
      <c r="D216" s="1" t="s">
        <v>692</v>
      </c>
      <c r="E216" s="1" t="s">
        <v>748</v>
      </c>
      <c r="F216" s="1" t="str">
        <f>_xlfn.XLOOKUP(表格1[[#This Row],[Dish]],dish_trans!A:A,dish_trans!B:B)</f>
        <v>Crispy Cod</v>
      </c>
      <c r="G216" s="1" t="str">
        <f>_xlfn.XLOOKUP(表格1[[#This Row],[Dish]],dish_trans[中文菜名 (Chinese)],dish_trans[菲律賓文翻譯 (Filipino/Tagalog)])</f>
        <v>Malutong na Cod</v>
      </c>
      <c r="H216" s="1" t="str">
        <f>_xlfn.XLOOKUP(表格1[[#This Row],[Dish]],dish_trans[中文菜名 (Chinese)],dish_trans[印尼文翻譯 (Indonesian)2])</f>
        <v>Ikan Kod Renyah</v>
      </c>
      <c r="I216" s="1" t="s">
        <v>559</v>
      </c>
      <c r="J216" s="1" t="s">
        <v>6</v>
      </c>
      <c r="K216" s="1" t="s">
        <v>6</v>
      </c>
      <c r="L216" s="1" t="s">
        <v>7</v>
      </c>
      <c r="M216" s="1" t="s">
        <v>469</v>
      </c>
      <c r="N216" s="1" t="s">
        <v>459</v>
      </c>
      <c r="O216" s="1" t="s">
        <v>546</v>
      </c>
      <c r="R216" s="2" t="s">
        <v>691</v>
      </c>
    </row>
    <row r="217" spans="1:18" x14ac:dyDescent="0.4">
      <c r="B217" s="1" t="s">
        <v>760</v>
      </c>
      <c r="C217" s="1" t="s">
        <v>652</v>
      </c>
      <c r="D217" s="1" t="s">
        <v>692</v>
      </c>
      <c r="E217" s="1" t="s">
        <v>749</v>
      </c>
      <c r="F217" s="1" t="str">
        <f>_xlfn.XLOOKUP(表格1[[#This Row],[Dish]],dish_trans!A:A,dish_trans!B:B)</f>
        <v>Pan-fried Crimson Seabream</v>
      </c>
      <c r="G217" s="1" t="str">
        <f>_xlfn.XLOOKUP(表格1[[#This Row],[Dish]],dish_trans[中文菜名 (Chinese)],dish_trans[菲律賓文翻譯 (Filipino/Tagalog)])</f>
        <v>Pinritong Crimson Seabream</v>
      </c>
      <c r="H217" s="1" t="str">
        <f>_xlfn.XLOOKUP(表格1[[#This Row],[Dish]],dish_trans[中文菜名 (Chinese)],dish_trans[印尼文翻譯 (Indonesian)2])</f>
        <v>Ikan Crimson Seabream Goreng Wajan</v>
      </c>
      <c r="I217" s="1" t="s">
        <v>559</v>
      </c>
      <c r="J217" s="1" t="s">
        <v>6</v>
      </c>
      <c r="K217" s="1" t="s">
        <v>6</v>
      </c>
      <c r="L217" s="1" t="s">
        <v>7</v>
      </c>
      <c r="M217" s="1" t="s">
        <v>469</v>
      </c>
      <c r="N217" s="1" t="s">
        <v>459</v>
      </c>
      <c r="O217" s="1" t="s">
        <v>546</v>
      </c>
      <c r="R217" s="2" t="s">
        <v>691</v>
      </c>
    </row>
    <row r="218" spans="1:18" x14ac:dyDescent="0.4">
      <c r="B218" s="1" t="s">
        <v>761</v>
      </c>
      <c r="C218" s="1" t="s">
        <v>655</v>
      </c>
      <c r="D218" s="1" t="s">
        <v>692</v>
      </c>
      <c r="E218" s="1" t="s">
        <v>750</v>
      </c>
      <c r="F218" s="1" t="str">
        <f>_xlfn.XLOOKUP(表格1[[#This Row],[Dish]],dish_trans!A:A,dish_trans!B:B)</f>
        <v>Pan-fried Salmon</v>
      </c>
      <c r="G218" s="1" t="str">
        <f>_xlfn.XLOOKUP(表格1[[#This Row],[Dish]],dish_trans[中文菜名 (Chinese)],dish_trans[菲律賓文翻譯 (Filipino/Tagalog)])</f>
        <v>Pinritong Salmon</v>
      </c>
      <c r="H218" s="1" t="str">
        <f>_xlfn.XLOOKUP(表格1[[#This Row],[Dish]],dish_trans[中文菜名 (Chinese)],dish_trans[印尼文翻譯 (Indonesian)2])</f>
        <v>Salmon Goreng Wajan</v>
      </c>
      <c r="I218" s="1" t="s">
        <v>559</v>
      </c>
      <c r="J218" s="1" t="s">
        <v>6</v>
      </c>
      <c r="K218" s="1" t="s">
        <v>6</v>
      </c>
      <c r="L218" s="1" t="s">
        <v>7</v>
      </c>
      <c r="M218" s="1" t="s">
        <v>469</v>
      </c>
      <c r="N218" s="1" t="s">
        <v>459</v>
      </c>
      <c r="O218" s="1" t="s">
        <v>546</v>
      </c>
      <c r="R218" s="2" t="s">
        <v>691</v>
      </c>
    </row>
    <row r="219" spans="1:18" x14ac:dyDescent="0.4">
      <c r="B219" s="1" t="s">
        <v>762</v>
      </c>
      <c r="C219" s="1" t="s">
        <v>652</v>
      </c>
      <c r="D219" s="1" t="s">
        <v>692</v>
      </c>
      <c r="E219" s="1" t="s">
        <v>751</v>
      </c>
      <c r="F219" s="1" t="str">
        <f>_xlfn.XLOOKUP(表格1[[#This Row],[Dish]],dish_trans!A:A,dish_trans!B:B)</f>
        <v>Pan-fried Sea Bass Fillet</v>
      </c>
      <c r="G219" s="1" t="str">
        <f>_xlfn.XLOOKUP(表格1[[#This Row],[Dish]],dish_trans[中文菜名 (Chinese)],dish_trans[菲律賓文翻譯 (Filipino/Tagalog)])</f>
        <v>Pinritong Fillet ng Sea Bass</v>
      </c>
      <c r="H219" s="1" t="str">
        <f>_xlfn.XLOOKUP(表格1[[#This Row],[Dish]],dish_trans[中文菜名 (Chinese)],dish_trans[印尼文翻譯 (Indonesian)2])</f>
        <v>Filet Ikan Kakap Putih Goreng Wajan</v>
      </c>
      <c r="I219" s="1" t="s">
        <v>559</v>
      </c>
      <c r="J219" s="1" t="s">
        <v>6</v>
      </c>
      <c r="K219" s="1" t="s">
        <v>6</v>
      </c>
      <c r="L219" s="1" t="s">
        <v>7</v>
      </c>
      <c r="M219" s="1" t="s">
        <v>469</v>
      </c>
      <c r="N219" s="1" t="s">
        <v>459</v>
      </c>
      <c r="O219" s="1" t="s">
        <v>546</v>
      </c>
      <c r="R219" s="2" t="s">
        <v>691</v>
      </c>
    </row>
    <row r="220" spans="1:18" x14ac:dyDescent="0.4">
      <c r="B220" s="1" t="s">
        <v>763</v>
      </c>
      <c r="C220" s="1" t="s">
        <v>655</v>
      </c>
      <c r="D220" s="1" t="s">
        <v>692</v>
      </c>
      <c r="E220" s="1" t="s">
        <v>752</v>
      </c>
      <c r="F220" s="1" t="str">
        <f>_xlfn.XLOOKUP(表格1[[#This Row],[Dish]],dish_trans!A:A,dish_trans!B:B)</f>
        <v>Grilled Overnight-dried Fish</v>
      </c>
      <c r="G220" s="1" t="str">
        <f>_xlfn.XLOOKUP(表格1[[#This Row],[Dish]],dish_trans[中文菜名 (Chinese)],dish_trans[菲律賓文翻譯 (Filipino/Tagalog)])</f>
        <v>Inihaw na Isdang Pinatuyo nang Magdamag</v>
      </c>
      <c r="H220" s="1" t="str">
        <f>_xlfn.XLOOKUP(表格1[[#This Row],[Dish]],dish_trans[中文菜名 (Chinese)],dish_trans[印尼文翻譯 (Indonesian)2])</f>
        <v>Ikan Kering Semalam Panggang</v>
      </c>
      <c r="I220" s="1" t="s">
        <v>559</v>
      </c>
      <c r="J220" s="1" t="s">
        <v>6</v>
      </c>
      <c r="K220" s="1" t="s">
        <v>6</v>
      </c>
      <c r="L220" s="1" t="s">
        <v>7</v>
      </c>
      <c r="M220" s="1" t="s">
        <v>469</v>
      </c>
      <c r="N220" s="1" t="s">
        <v>459</v>
      </c>
      <c r="O220" s="1" t="s">
        <v>544</v>
      </c>
      <c r="R220" s="2" t="s">
        <v>691</v>
      </c>
    </row>
    <row r="221" spans="1:18" x14ac:dyDescent="0.4">
      <c r="A221" s="33" t="s">
        <v>764</v>
      </c>
      <c r="B221" s="1" t="s">
        <v>764</v>
      </c>
      <c r="C221" s="1" t="s">
        <v>655</v>
      </c>
      <c r="D221" s="1" t="s">
        <v>692</v>
      </c>
      <c r="E221" s="1" t="s">
        <v>753</v>
      </c>
      <c r="F221" s="1" t="str">
        <f>_xlfn.XLOOKUP(表格1[[#This Row],[Dish]],dish_trans!A:A,dish_trans!B:B)</f>
        <v>Grilled Norwegian Salted Mackerel</v>
      </c>
      <c r="G221" s="1" t="str">
        <f>_xlfn.XLOOKUP(表格1[[#This Row],[Dish]],dish_trans[中文菜名 (Chinese)],dish_trans[菲律賓文翻譯 (Filipino/Tagalog)])</f>
        <v>Inihaw na Inasnan na Mackerel mula sa Norway</v>
      </c>
      <c r="H221" s="1" t="str">
        <f>_xlfn.XLOOKUP(表格1[[#This Row],[Dish]],dish_trans[中文菜名 (Chinese)],dish_trans[印尼文翻譯 (Indonesian)2])</f>
        <v>Ikan Makarel Asin Norwegia Panggang</v>
      </c>
      <c r="I221" s="1" t="s">
        <v>559</v>
      </c>
      <c r="J221" s="1" t="s">
        <v>6</v>
      </c>
      <c r="K221" s="1" t="s">
        <v>6</v>
      </c>
      <c r="L221" s="1" t="s">
        <v>7</v>
      </c>
      <c r="M221" s="1" t="s">
        <v>469</v>
      </c>
      <c r="N221" s="1" t="s">
        <v>459</v>
      </c>
      <c r="O221" s="1" t="s">
        <v>544</v>
      </c>
      <c r="R221" s="2" t="s">
        <v>691</v>
      </c>
    </row>
    <row r="222" spans="1:18" x14ac:dyDescent="0.4">
      <c r="B222" s="1" t="s">
        <v>765</v>
      </c>
      <c r="C222" s="1" t="s">
        <v>655</v>
      </c>
      <c r="D222" s="1" t="s">
        <v>692</v>
      </c>
      <c r="E222" s="1" t="s">
        <v>754</v>
      </c>
      <c r="F222" s="1" t="str">
        <f>_xlfn.XLOOKUP(表格1[[#This Row],[Dish]],dish_trans!A:A,dish_trans!B:B)</f>
        <v>Roast Salmon with Salt, Pepper and Lemon</v>
      </c>
      <c r="G222" s="1" t="str">
        <f>_xlfn.XLOOKUP(表格1[[#This Row],[Dish]],dish_trans[中文菜名 (Chinese)],dish_trans[菲律賓文翻譯 (Filipino/Tagalog)])</f>
        <v>Inihaw na Salmon na may Asin, Paminta at Limon</v>
      </c>
      <c r="H222" s="1" t="str">
        <f>_xlfn.XLOOKUP(表格1[[#This Row],[Dish]],dish_trans[中文菜名 (Chinese)],dish_trans[印尼文翻譯 (Indonesian)2])</f>
        <v>Salmon Panggang Garam, Lada dan Lemon</v>
      </c>
      <c r="I222" s="1" t="s">
        <v>559</v>
      </c>
      <c r="J222" s="1" t="s">
        <v>6</v>
      </c>
      <c r="K222" s="1" t="s">
        <v>6</v>
      </c>
      <c r="L222" s="1" t="s">
        <v>7</v>
      </c>
      <c r="M222" s="1" t="s">
        <v>469</v>
      </c>
      <c r="N222" s="1" t="s">
        <v>459</v>
      </c>
      <c r="O222" s="1" t="s">
        <v>546</v>
      </c>
      <c r="R222" s="2" t="s">
        <v>691</v>
      </c>
    </row>
    <row r="223" spans="1:18" x14ac:dyDescent="0.4">
      <c r="B223" s="1" t="s">
        <v>766</v>
      </c>
      <c r="C223" s="1" t="s">
        <v>652</v>
      </c>
      <c r="D223" s="1" t="s">
        <v>692</v>
      </c>
      <c r="E223" s="1" t="s">
        <v>755</v>
      </c>
      <c r="F223" s="1" t="str">
        <f>_xlfn.XLOOKUP(表格1[[#This Row],[Dish]],dish_trans!A:A,dish_trans!B:B)</f>
        <v>Flash-fried Shrimp with Spring Onions</v>
      </c>
      <c r="G223" s="1" t="str">
        <f>_xlfn.XLOOKUP(表格1[[#This Row],[Dish]],dish_trans[中文菜名 (Chinese)],dish_trans[菲律賓文翻譯 (Filipino/Tagalog)])</f>
        <v>Mabilis na Ginisang Hipon na may Dahon ng Sibuyas</v>
      </c>
      <c r="H223" s="1" t="str">
        <f>_xlfn.XLOOKUP(表格1[[#This Row],[Dish]],dish_trans[中文菜名 (Chinese)],dish_trans[印尼文翻譯 (Indonesian)2])</f>
        <v>Udang Tumis Cepat Daun Bawang</v>
      </c>
      <c r="I223" s="1" t="s">
        <v>548</v>
      </c>
      <c r="J223" s="1" t="s">
        <v>6</v>
      </c>
      <c r="K223" s="1" t="s">
        <v>6</v>
      </c>
      <c r="L223" s="1" t="s">
        <v>7</v>
      </c>
      <c r="M223" s="1" t="s">
        <v>469</v>
      </c>
      <c r="N223" s="1" t="s">
        <v>459</v>
      </c>
      <c r="O223" s="1" t="s">
        <v>544</v>
      </c>
      <c r="R223" s="2" t="s">
        <v>691</v>
      </c>
    </row>
    <row r="224" spans="1:18" x14ac:dyDescent="0.4">
      <c r="B224" s="1" t="s">
        <v>767</v>
      </c>
      <c r="C224" s="1" t="s">
        <v>652</v>
      </c>
      <c r="D224" s="1" t="s">
        <v>692</v>
      </c>
      <c r="E224" s="6" t="s">
        <v>756</v>
      </c>
      <c r="F224" s="1" t="str">
        <f>_xlfn.XLOOKUP(表格1[[#This Row],[Dish]],dish_trans!A:A,dish_trans!B:B)</f>
        <v>Steamed Hairtail Fish Rolls with Fermented Pineapple</v>
      </c>
      <c r="G224" s="1" t="str">
        <f>_xlfn.XLOOKUP(表格1[[#This Row],[Dish]],dish_trans[中文菜名 (Chinese)],dish_trans[菲律賓文翻譯 (Filipino/Tagalog)])</f>
        <v>Pinasingawang Rolyo ng Isdang Espada na may Burong Pinya</v>
      </c>
      <c r="H224" s="1" t="str">
        <f>_xlfn.XLOOKUP(表格1[[#This Row],[Dish]],dish_trans[中文菜名 (Chinese)],dish_trans[印尼文翻譯 (Indonesian)2])</f>
        <v>Gulungan Ikan Layur Kukus dengan Nanas Fermentasi</v>
      </c>
      <c r="I224" s="1" t="s">
        <v>548</v>
      </c>
      <c r="J224" s="1" t="s">
        <v>6</v>
      </c>
      <c r="K224" s="1" t="s">
        <v>6</v>
      </c>
      <c r="L224" s="1" t="s">
        <v>7</v>
      </c>
      <c r="M224" s="1" t="s">
        <v>469</v>
      </c>
      <c r="N224" s="1" t="s">
        <v>459</v>
      </c>
      <c r="O224" s="1" t="s">
        <v>544</v>
      </c>
      <c r="R224" s="2" t="s">
        <v>691</v>
      </c>
    </row>
    <row r="225" spans="1:18" x14ac:dyDescent="0.4">
      <c r="B225" s="1" t="s">
        <v>768</v>
      </c>
      <c r="C225" s="1" t="s">
        <v>652</v>
      </c>
      <c r="D225" s="1" t="s">
        <v>692</v>
      </c>
      <c r="E225" s="1" t="s">
        <v>757</v>
      </c>
      <c r="F225" s="1" t="str">
        <f>_xlfn.XLOOKUP(表格1[[#This Row],[Dish]],dish_trans!A:A,dish_trans!B:B)</f>
        <v>Stir-fried Shelled Shrimp with Asparagus</v>
      </c>
      <c r="G225" s="1" t="str">
        <f>_xlfn.XLOOKUP(表格1[[#This Row],[Dish]],dish_trans[中文菜名 (Chinese)],dish_trans[菲律賓文翻譯 (Filipino/Tagalog)])</f>
        <v>Ginisang Binalatang Hipon na may Asparagus</v>
      </c>
      <c r="H225" s="1" t="str">
        <f>_xlfn.XLOOKUP(表格1[[#This Row],[Dish]],dish_trans[中文菜名 (Chinese)],dish_trans[印尼文翻譯 (Indonesian)2])</f>
        <v>Udang Kupas Tumis Asparagus</v>
      </c>
      <c r="I225" s="1" t="s">
        <v>548</v>
      </c>
      <c r="J225" s="1" t="s">
        <v>6</v>
      </c>
      <c r="K225" s="1" t="s">
        <v>6</v>
      </c>
      <c r="L225" s="1" t="s">
        <v>7</v>
      </c>
      <c r="M225" s="1" t="s">
        <v>469</v>
      </c>
      <c r="N225" s="1" t="s">
        <v>459</v>
      </c>
      <c r="O225" s="1" t="s">
        <v>546</v>
      </c>
      <c r="R225" s="2" t="s">
        <v>691</v>
      </c>
    </row>
    <row r="226" spans="1:18" x14ac:dyDescent="0.4">
      <c r="B226" s="1" t="s">
        <v>769</v>
      </c>
      <c r="C226" s="1" t="s">
        <v>652</v>
      </c>
      <c r="D226" s="1" t="s">
        <v>692</v>
      </c>
      <c r="E226" s="1" t="s">
        <v>758</v>
      </c>
      <c r="F226" s="1" t="str">
        <f>_xlfn.XLOOKUP(表格1[[#This Row],[Dish]],dish_trans!A:A,dish_trans!B:B)</f>
        <v>Salt-grilled Fish Collar with Lemon</v>
      </c>
      <c r="G226" s="1" t="str">
        <f>_xlfn.XLOOKUP(表格1[[#This Row],[Dish]],dish_trans[中文菜名 (Chinese)],dish_trans[菲律賓文翻譯 (Filipino/Tagalog)])</f>
        <v>Inihaw na Panga ng Isda na may Asin at Limon</v>
      </c>
      <c r="H226" s="1" t="str">
        <f>_xlfn.XLOOKUP(表格1[[#This Row],[Dish]],dish_trans[中文菜名 (Chinese)],dish_trans[印尼文翻譯 (Indonesian)2])</f>
        <v>Rahang Ikan Panggang Garam dan Lemon</v>
      </c>
      <c r="I226" s="1" t="s">
        <v>548</v>
      </c>
      <c r="J226" s="1" t="s">
        <v>6</v>
      </c>
      <c r="K226" s="1" t="s">
        <v>6</v>
      </c>
      <c r="L226" s="1" t="s">
        <v>7</v>
      </c>
      <c r="M226" s="1" t="s">
        <v>469</v>
      </c>
      <c r="N226" s="1" t="s">
        <v>459</v>
      </c>
      <c r="O226" s="1" t="s">
        <v>546</v>
      </c>
      <c r="R226" s="2" t="s">
        <v>691</v>
      </c>
    </row>
    <row r="227" spans="1:18" x14ac:dyDescent="0.4">
      <c r="B227" s="1" t="s">
        <v>780</v>
      </c>
      <c r="C227" s="1" t="s">
        <v>655</v>
      </c>
      <c r="D227" s="1" t="s">
        <v>693</v>
      </c>
      <c r="E227" s="1" t="s">
        <v>770</v>
      </c>
      <c r="F227" s="1" t="str">
        <f>_xlfn.XLOOKUP(表格1[[#This Row],[Dish]],dish_trans!A:A,dish_trans!B:B)</f>
        <v>Chinese Yam Braised in Soy Sauce</v>
      </c>
      <c r="G227" s="1" t="str">
        <f>_xlfn.XLOOKUP(表格1[[#This Row],[Dish]],dish_trans[中文菜名 (Chinese)],dish_trans[菲律賓文翻譯 (Filipino/Tagalog)])</f>
        <v>Chinese Yam na Nilaga sa Toyo</v>
      </c>
      <c r="H227" s="1" t="str">
        <f>_xlfn.XLOOKUP(表格1[[#This Row],[Dish]],dish_trans[中文菜名 (Chinese)],dish_trans[印尼文翻譯 (Indonesian)2])</f>
        <v>Ubi Cina Masak Kecap Asin</v>
      </c>
      <c r="I227" s="1" t="s">
        <v>559</v>
      </c>
      <c r="J227" s="1" t="s">
        <v>6</v>
      </c>
      <c r="K227" s="1" t="s">
        <v>6</v>
      </c>
      <c r="L227" s="1" t="s">
        <v>7</v>
      </c>
      <c r="M227" s="1" t="s">
        <v>471</v>
      </c>
      <c r="N227" s="1" t="s">
        <v>459</v>
      </c>
      <c r="O227" s="1" t="s">
        <v>546</v>
      </c>
      <c r="R227" s="2" t="s">
        <v>691</v>
      </c>
    </row>
    <row r="228" spans="1:18" x14ac:dyDescent="0.4">
      <c r="B228" s="1" t="s">
        <v>781</v>
      </c>
      <c r="C228" s="1" t="s">
        <v>655</v>
      </c>
      <c r="D228" s="1" t="s">
        <v>693</v>
      </c>
      <c r="E228" s="1" t="s">
        <v>771</v>
      </c>
      <c r="F228" s="1" t="str">
        <f>_xlfn.XLOOKUP(表格1[[#This Row],[Dish]],dish_trans!A:A,dish_trans!B:B)</f>
        <v>Green Beans with Sesame Sauce</v>
      </c>
      <c r="G228" s="1" t="str">
        <f>_xlfn.XLOOKUP(表格1[[#This Row],[Dish]],dish_trans[中文菜名 (Chinese)],dish_trans[菲律賓文翻譯 (Filipino/Tagalog)])</f>
        <v>Baguio Beans na may Sarsang Linga</v>
      </c>
      <c r="H228" s="1" t="str">
        <f>_xlfn.XLOOKUP(表格1[[#This Row],[Dish]],dish_trans[中文菜名 (Chinese)],dish_trans[印尼文翻譯 (Indonesian)2])</f>
        <v>Buncis dengan Saus Wijen</v>
      </c>
      <c r="I228" s="1" t="s">
        <v>548</v>
      </c>
      <c r="J228" s="1" t="s">
        <v>6</v>
      </c>
      <c r="K228" s="1" t="s">
        <v>6</v>
      </c>
      <c r="L228" s="1" t="s">
        <v>7</v>
      </c>
      <c r="M228" s="1" t="s">
        <v>471</v>
      </c>
      <c r="N228" s="1" t="s">
        <v>463</v>
      </c>
      <c r="O228" s="1" t="s">
        <v>546</v>
      </c>
      <c r="R228" s="2" t="s">
        <v>691</v>
      </c>
    </row>
    <row r="229" spans="1:18" x14ac:dyDescent="0.4">
      <c r="B229" s="1" t="s">
        <v>782</v>
      </c>
      <c r="C229" s="1" t="s">
        <v>652</v>
      </c>
      <c r="D229" s="1" t="s">
        <v>693</v>
      </c>
      <c r="E229" s="1" t="s">
        <v>772</v>
      </c>
      <c r="F229" s="1" t="str">
        <f>_xlfn.XLOOKUP(表格1[[#This Row],[Dish]],dish_trans!A:A,dish_trans!B:B)</f>
        <v>Red-braised Winter Melon</v>
      </c>
      <c r="G229" s="1" t="str">
        <f>_xlfn.XLOOKUP(表格1[[#This Row],[Dish]],dish_trans[中文菜名 (Chinese)],dish_trans[菲律賓文翻譯 (Filipino/Tagalog)])</f>
        <v>Kundol na Nilaga sa Toyo</v>
      </c>
      <c r="H229" s="1" t="str">
        <f>_xlfn.XLOOKUP(表格1[[#This Row],[Dish]],dish_trans[中文菜名 (Chinese)],dish_trans[印尼文翻譯 (Indonesian)2])</f>
        <v>Labu Air Masak Kecap</v>
      </c>
      <c r="I229" s="1" t="s">
        <v>548</v>
      </c>
      <c r="J229" s="1" t="s">
        <v>6</v>
      </c>
      <c r="K229" s="1" t="s">
        <v>6</v>
      </c>
      <c r="L229" s="1" t="s">
        <v>7</v>
      </c>
      <c r="M229" s="1" t="s">
        <v>471</v>
      </c>
      <c r="N229" s="1" t="s">
        <v>463</v>
      </c>
      <c r="O229" s="1" t="s">
        <v>546</v>
      </c>
      <c r="Q229" s="2" t="s">
        <v>117</v>
      </c>
      <c r="R229" s="2" t="s">
        <v>691</v>
      </c>
    </row>
    <row r="230" spans="1:18" x14ac:dyDescent="0.4">
      <c r="B230" s="1" t="s">
        <v>783</v>
      </c>
      <c r="C230" s="1" t="s">
        <v>646</v>
      </c>
      <c r="D230" s="1" t="s">
        <v>693</v>
      </c>
      <c r="E230" s="1" t="s">
        <v>773</v>
      </c>
      <c r="F230" s="1" t="str">
        <f>_xlfn.XLOOKUP(表格1[[#This Row],[Dish]],dish_trans!A:A,dish_trans!B:B)</f>
        <v>Pan-fried Potatoes</v>
      </c>
      <c r="G230" s="1" t="str">
        <f>_xlfn.XLOOKUP(表格1[[#This Row],[Dish]],dish_trans[中文菜名 (Chinese)],dish_trans[菲律賓文翻譯 (Filipino/Tagalog)])</f>
        <v>Pinritong Patatas</v>
      </c>
      <c r="H230" s="1" t="str">
        <f>_xlfn.XLOOKUP(表格1[[#This Row],[Dish]],dish_trans[中文菜名 (Chinese)],dish_trans[印尼文翻譯 (Indonesian)2])</f>
        <v>Kentang Goreng Wajan</v>
      </c>
      <c r="I230" s="1" t="s">
        <v>556</v>
      </c>
      <c r="J230" s="1" t="s">
        <v>6</v>
      </c>
      <c r="K230" s="1" t="s">
        <v>6</v>
      </c>
      <c r="L230" s="1" t="s">
        <v>7</v>
      </c>
      <c r="M230" s="1" t="s">
        <v>471</v>
      </c>
      <c r="N230" s="1" t="s">
        <v>485</v>
      </c>
      <c r="O230" s="1" t="s">
        <v>544</v>
      </c>
      <c r="R230" s="2" t="s">
        <v>691</v>
      </c>
    </row>
    <row r="231" spans="1:18" x14ac:dyDescent="0.4">
      <c r="B231" s="1" t="s">
        <v>784</v>
      </c>
      <c r="C231" s="1" t="s">
        <v>652</v>
      </c>
      <c r="D231" s="1" t="s">
        <v>693</v>
      </c>
      <c r="E231" s="1" t="s">
        <v>774</v>
      </c>
      <c r="F231" s="1" t="str">
        <f>_xlfn.XLOOKUP(表格1[[#This Row],[Dish]],dish_trans!A:A,dish_trans!B:B)</f>
        <v>Crisp Stir-fried Large Cucumber</v>
      </c>
      <c r="G231" s="1" t="str">
        <f>_xlfn.XLOOKUP(表格1[[#This Row],[Dish]],dish_trans[中文菜名 (Chinese)],dish_trans[菲律賓文翻譯 (Filipino/Tagalog)])</f>
        <v>Malutong na Ginisang Malaking Pipino</v>
      </c>
      <c r="H231" s="1" t="str">
        <f>_xlfn.XLOOKUP(表格1[[#This Row],[Dish]],dish_trans[中文菜名 (Chinese)],dish_trans[印尼文翻譯 (Indonesian)2])</f>
        <v>Mentimun Besar Tumis Renyah</v>
      </c>
      <c r="I231" s="1" t="s">
        <v>791</v>
      </c>
      <c r="J231" s="1" t="s">
        <v>6</v>
      </c>
      <c r="K231" s="1" t="s">
        <v>6</v>
      </c>
      <c r="L231" s="1" t="s">
        <v>7</v>
      </c>
      <c r="M231" s="1" t="s">
        <v>471</v>
      </c>
      <c r="N231" s="1" t="s">
        <v>463</v>
      </c>
      <c r="O231" s="1" t="s">
        <v>546</v>
      </c>
      <c r="R231" s="2" t="s">
        <v>691</v>
      </c>
    </row>
    <row r="232" spans="1:18" x14ac:dyDescent="0.4">
      <c r="B232" s="1" t="s">
        <v>785</v>
      </c>
      <c r="C232" s="1" t="s">
        <v>652</v>
      </c>
      <c r="D232" s="1" t="s">
        <v>692</v>
      </c>
      <c r="E232" s="1" t="s">
        <v>775</v>
      </c>
      <c r="F232" s="1" t="str">
        <f>_xlfn.XLOOKUP(表格1[[#This Row],[Dish]],dish_trans!A:A,dish_trans!B:B)</f>
        <v>Baby Chinese Cabbage in Stock</v>
      </c>
      <c r="G232" s="1" t="str">
        <f>_xlfn.XLOOKUP(表格1[[#This Row],[Dish]],dish_trans[中文菜名 (Chinese)],dish_trans[菲律賓文翻譯 (Filipino/Tagalog)])</f>
        <v>Murang Chinese Cabbage sa Sabaw</v>
      </c>
      <c r="H232" s="1" t="str">
        <f>_xlfn.XLOOKUP(表格1[[#This Row],[Dish]],dish_trans[中文菜名 (Chinese)],dish_trans[印尼文翻譯 (Indonesian)2])</f>
        <v>Sawi Putih Mini dalam Kaldu</v>
      </c>
      <c r="I232" s="1" t="s">
        <v>548</v>
      </c>
      <c r="J232" s="1" t="s">
        <v>6</v>
      </c>
      <c r="K232" s="1" t="s">
        <v>6</v>
      </c>
      <c r="L232" s="1" t="s">
        <v>7</v>
      </c>
      <c r="M232" s="1" t="s">
        <v>471</v>
      </c>
      <c r="N232" s="1" t="s">
        <v>463</v>
      </c>
      <c r="O232" s="1" t="s">
        <v>546</v>
      </c>
      <c r="R232" s="2" t="s">
        <v>691</v>
      </c>
    </row>
    <row r="233" spans="1:18" x14ac:dyDescent="0.4">
      <c r="A233" s="33" t="s">
        <v>786</v>
      </c>
      <c r="B233" s="1" t="s">
        <v>786</v>
      </c>
      <c r="C233" s="1" t="s">
        <v>655</v>
      </c>
      <c r="D233" s="1" t="s">
        <v>693</v>
      </c>
      <c r="E233" s="1" t="s">
        <v>776</v>
      </c>
      <c r="F233" s="1" t="str">
        <f>_xlfn.XLOOKUP(表格1[[#This Row],[Dish]],dish_trans!A:A,dish_trans!B:B)</f>
        <v>Cold Okra Salad with Plum Dressing</v>
      </c>
      <c r="G233" s="1" t="str">
        <f>_xlfn.XLOOKUP(表格1[[#This Row],[Dish]],dish_trans[中文菜名 (Chinese)],dish_trans[菲律賓文翻譯 (Filipino/Tagalog)])</f>
        <v>Malamig na Salad ng Okra na may Sarsang Plum</v>
      </c>
      <c r="H233" s="1" t="str">
        <f>_xlfn.XLOOKUP(表格1[[#This Row],[Dish]],dish_trans[中文菜名 (Chinese)],dish_trans[印尼文翻譯 (Indonesian)2])</f>
        <v>Salad Okra Dingin Saus Plum</v>
      </c>
      <c r="I233" s="1" t="s">
        <v>548</v>
      </c>
      <c r="J233" s="1" t="s">
        <v>6</v>
      </c>
      <c r="K233" s="1" t="s">
        <v>6</v>
      </c>
      <c r="L233" s="1" t="s">
        <v>7</v>
      </c>
      <c r="M233" s="1" t="s">
        <v>471</v>
      </c>
      <c r="N233" s="1" t="s">
        <v>463</v>
      </c>
      <c r="O233" s="1" t="s">
        <v>546</v>
      </c>
      <c r="Q233" s="2" t="s">
        <v>117</v>
      </c>
      <c r="R233" s="2" t="s">
        <v>691</v>
      </c>
    </row>
    <row r="234" spans="1:18" x14ac:dyDescent="0.4">
      <c r="B234" s="1" t="s">
        <v>787</v>
      </c>
      <c r="C234" s="1" t="s">
        <v>652</v>
      </c>
      <c r="D234" s="1" t="s">
        <v>693</v>
      </c>
      <c r="E234" s="1" t="s">
        <v>777</v>
      </c>
      <c r="F234" s="1" t="str">
        <f>_xlfn.XLOOKUP(表格1[[#This Row],[Dish]],dish_trans!A:A,dish_trans!B:B)</f>
        <v>Cold Chinese Cabbage Heart Salad</v>
      </c>
      <c r="G234" s="1" t="str">
        <f>_xlfn.XLOOKUP(表格1[[#This Row],[Dish]],dish_trans[中文菜名 (Chinese)],dish_trans[菲律賓文翻譯 (Filipino/Tagalog)])</f>
        <v>Malamig na Salad ng Puso ng Chinese Cabbage</v>
      </c>
      <c r="H234" s="1" t="str">
        <f>_xlfn.XLOOKUP(表格1[[#This Row],[Dish]],dish_trans[中文菜名 (Chinese)],dish_trans[印尼文翻譯 (Indonesian)2])</f>
        <v>Salad Inti Sawi Putih Dingin</v>
      </c>
      <c r="I234" s="1" t="s">
        <v>791</v>
      </c>
      <c r="J234" s="1" t="s">
        <v>6</v>
      </c>
      <c r="K234" s="1" t="s">
        <v>6</v>
      </c>
      <c r="L234" s="1" t="s">
        <v>7</v>
      </c>
      <c r="M234" s="1" t="s">
        <v>471</v>
      </c>
      <c r="N234" s="1" t="s">
        <v>463</v>
      </c>
      <c r="O234" s="1" t="s">
        <v>546</v>
      </c>
      <c r="Q234" s="2" t="s">
        <v>117</v>
      </c>
      <c r="R234" s="2" t="s">
        <v>691</v>
      </c>
    </row>
    <row r="235" spans="1:18" x14ac:dyDescent="0.4">
      <c r="B235" s="1" t="s">
        <v>788</v>
      </c>
      <c r="C235" s="1" t="s">
        <v>655</v>
      </c>
      <c r="D235" s="1" t="s">
        <v>693</v>
      </c>
      <c r="E235" s="1" t="s">
        <v>778</v>
      </c>
      <c r="F235" s="1" t="str">
        <f>_xlfn.XLOOKUP(表格1[[#This Row],[Dish]],dish_trans!A:A,dish_trans!B:B)</f>
        <v>Caramelized Corn</v>
      </c>
      <c r="G235" s="1" t="str">
        <f>_xlfn.XLOOKUP(表格1[[#This Row],[Dish]],dish_trans[中文菜名 (Chinese)],dish_trans[菲律賓文翻譯 (Filipino/Tagalog)])</f>
        <v>Mais na may Karamelo</v>
      </c>
      <c r="H235" s="1" t="str">
        <f>_xlfn.XLOOKUP(表格1[[#This Row],[Dish]],dish_trans[中文菜名 (Chinese)],dish_trans[印尼文翻譯 (Indonesian)2])</f>
        <v>Jagung Karamel</v>
      </c>
      <c r="I235" s="1" t="s">
        <v>548</v>
      </c>
      <c r="J235" s="1" t="s">
        <v>6</v>
      </c>
      <c r="K235" s="1" t="s">
        <v>6</v>
      </c>
      <c r="L235" s="1" t="s">
        <v>7</v>
      </c>
      <c r="M235" s="1" t="s">
        <v>471</v>
      </c>
      <c r="N235" s="1" t="s">
        <v>463</v>
      </c>
      <c r="O235" s="1" t="s">
        <v>546</v>
      </c>
      <c r="R235" s="2" t="s">
        <v>691</v>
      </c>
    </row>
    <row r="236" spans="1:18" x14ac:dyDescent="0.4">
      <c r="A236" s="33" t="s">
        <v>789</v>
      </c>
      <c r="B236" s="1" t="s">
        <v>789</v>
      </c>
      <c r="C236" s="1" t="s">
        <v>652</v>
      </c>
      <c r="D236" s="1" t="s">
        <v>693</v>
      </c>
      <c r="E236" s="1" t="s">
        <v>779</v>
      </c>
      <c r="F236" s="1" t="str">
        <f>_xlfn.XLOOKUP(表格1[[#This Row],[Dish]],dish_trans!A:A,dish_trans!B:B)</f>
        <v>Stir-fried Wild Mushrooms and Baby Corn with Basil</v>
      </c>
      <c r="G236" s="1" t="str">
        <f>_xlfn.XLOOKUP(表格1[[#This Row],[Dish]],dish_trans[中文菜名 (Chinese)],dish_trans[菲律賓文翻譯 (Filipino/Tagalog)])</f>
        <v>Ginisang Ligaw na Kabute at Baby Corn na may Balanoy</v>
      </c>
      <c r="H236" s="1" t="str">
        <f>_xlfn.XLOOKUP(表格1[[#This Row],[Dish]],dish_trans[中文菜名 (Chinese)],dish_trans[印尼文翻譯 (Indonesian)2])</f>
        <v>Jamur Liar dan Jagung Muda Tumis Kemangi</v>
      </c>
      <c r="I236" s="1" t="s">
        <v>548</v>
      </c>
      <c r="J236" s="1" t="s">
        <v>6</v>
      </c>
      <c r="K236" s="1" t="s">
        <v>6</v>
      </c>
      <c r="L236" s="1" t="s">
        <v>7</v>
      </c>
      <c r="M236" s="1" t="s">
        <v>471</v>
      </c>
      <c r="N236" s="1" t="s">
        <v>463</v>
      </c>
      <c r="O236" s="1" t="s">
        <v>544</v>
      </c>
      <c r="R236" s="2" t="s">
        <v>691</v>
      </c>
    </row>
    <row r="237" spans="1:18" x14ac:dyDescent="0.4">
      <c r="B237" s="1" t="s">
        <v>790</v>
      </c>
      <c r="C237" s="1" t="s">
        <v>652</v>
      </c>
      <c r="D237" s="1" t="s">
        <v>694</v>
      </c>
      <c r="E237" s="2" t="s">
        <v>793</v>
      </c>
      <c r="F237" s="1" t="str">
        <f>_xlfn.XLOOKUP(表格1[[#This Row],[Dish]],dish_trans!A:A,dish_trans!B:B)</f>
        <v>Tofu with Century Egg</v>
      </c>
      <c r="G237" s="1" t="str">
        <f>_xlfn.XLOOKUP(表格1[[#This Row],[Dish]],dish_trans[中文菜名 (Chinese)],dish_trans[菲律賓文翻譯 (Filipino/Tagalog)])</f>
        <v>Tokwa na may Century Egg</v>
      </c>
      <c r="H237" s="1" t="str">
        <f>_xlfn.XLOOKUP(表格1[[#This Row],[Dish]],dish_trans[中文菜名 (Chinese)],dish_trans[印尼文翻譯 (Indonesian)2])</f>
        <v>Tahu dengan Telur Pitan</v>
      </c>
      <c r="I237" s="1" t="s">
        <v>548</v>
      </c>
      <c r="J237" s="1" t="s">
        <v>6</v>
      </c>
      <c r="K237" s="1" t="s">
        <v>6</v>
      </c>
      <c r="L237" s="1" t="s">
        <v>7</v>
      </c>
      <c r="M237" s="1" t="s">
        <v>484</v>
      </c>
      <c r="N237" s="1" t="s">
        <v>463</v>
      </c>
      <c r="O237" s="1" t="s">
        <v>546</v>
      </c>
      <c r="Q237" s="2" t="s">
        <v>117</v>
      </c>
      <c r="R237" s="2" t="s">
        <v>691</v>
      </c>
    </row>
    <row r="238" spans="1:18" x14ac:dyDescent="0.4">
      <c r="B238" s="1" t="s">
        <v>799</v>
      </c>
      <c r="C238" s="1" t="s">
        <v>655</v>
      </c>
      <c r="D238" s="1" t="s">
        <v>693</v>
      </c>
      <c r="E238" s="1" t="s">
        <v>794</v>
      </c>
      <c r="F238" s="1" t="str">
        <f>_xlfn.XLOOKUP(表格1[[#This Row],[Dish]],dish_trans!A:A,dish_trans!B:B)</f>
        <v>Cold Tofu with Sesame Sauce</v>
      </c>
      <c r="G238" s="1" t="str">
        <f>_xlfn.XLOOKUP(表格1[[#This Row],[Dish]],dish_trans[中文菜名 (Chinese)],dish_trans[菲律賓文翻譯 (Filipino/Tagalog)])</f>
        <v>Malamig na Tokwa na may Sarsang Linga</v>
      </c>
      <c r="H238" s="1" t="str">
        <f>_xlfn.XLOOKUP(表格1[[#This Row],[Dish]],dish_trans[中文菜名 (Chinese)],dish_trans[印尼文翻譯 (Indonesian)2])</f>
        <v>Tahu Dingin Saus Wijen</v>
      </c>
      <c r="I238" s="1" t="s">
        <v>548</v>
      </c>
      <c r="J238" s="1" t="s">
        <v>6</v>
      </c>
      <c r="K238" s="1" t="s">
        <v>6</v>
      </c>
      <c r="L238" s="1" t="s">
        <v>7</v>
      </c>
      <c r="M238" s="1" t="s">
        <v>484</v>
      </c>
      <c r="N238" s="1" t="s">
        <v>463</v>
      </c>
      <c r="O238" s="1" t="s">
        <v>546</v>
      </c>
      <c r="Q238" s="2" t="s">
        <v>117</v>
      </c>
      <c r="R238" s="2" t="s">
        <v>691</v>
      </c>
    </row>
    <row r="239" spans="1:18" x14ac:dyDescent="0.4">
      <c r="B239" s="1" t="s">
        <v>800</v>
      </c>
      <c r="C239" s="1" t="s">
        <v>652</v>
      </c>
      <c r="D239" s="1" t="s">
        <v>693</v>
      </c>
      <c r="E239" s="1" t="s">
        <v>795</v>
      </c>
      <c r="F239" s="1" t="str">
        <f>_xlfn.XLOOKUP(表格1[[#This Row],[Dish]],dish_trans!A:A,dish_trans!B:B)</f>
        <v>Homestyle Braised Tofu</v>
      </c>
      <c r="G239" s="1" t="str">
        <f>_xlfn.XLOOKUP(表格1[[#This Row],[Dish]],dish_trans[中文菜名 (Chinese)],dish_trans[菲律賓文翻譯 (Filipino/Tagalog)])</f>
        <v>Tokwang Nilaga sa Toyo na Lutong-bahay</v>
      </c>
      <c r="H239" s="1" t="str">
        <f>_xlfn.XLOOKUP(表格1[[#This Row],[Dish]],dish_trans[中文菜名 (Chinese)],dish_trans[印尼文翻譯 (Indonesian)2])</f>
        <v>Tahu Masak Kecap Rumahan</v>
      </c>
      <c r="I239" s="1" t="s">
        <v>548</v>
      </c>
      <c r="J239" s="1" t="s">
        <v>6</v>
      </c>
      <c r="K239" s="1" t="s">
        <v>6</v>
      </c>
      <c r="L239" s="1" t="s">
        <v>7</v>
      </c>
      <c r="M239" s="1" t="s">
        <v>484</v>
      </c>
      <c r="N239" s="1" t="s">
        <v>459</v>
      </c>
      <c r="O239" s="1" t="s">
        <v>544</v>
      </c>
      <c r="Q239" s="2" t="s">
        <v>116</v>
      </c>
      <c r="R239" s="2" t="s">
        <v>691</v>
      </c>
    </row>
    <row r="240" spans="1:18" x14ac:dyDescent="0.4">
      <c r="B240" s="1" t="s">
        <v>801</v>
      </c>
      <c r="C240" s="1" t="s">
        <v>652</v>
      </c>
      <c r="D240" s="1" t="s">
        <v>693</v>
      </c>
      <c r="E240" s="6" t="s">
        <v>796</v>
      </c>
      <c r="F240" s="1" t="str">
        <f>_xlfn.XLOOKUP(表格1[[#This Row],[Dish]],dish_trans!A:A,dish_trans!B:B)</f>
        <v>Salt and Pepper Tofu Cubes</v>
      </c>
      <c r="G240" s="1" t="str">
        <f>_xlfn.XLOOKUP(表格1[[#This Row],[Dish]],dish_trans[中文菜名 (Chinese)],dish_trans[菲律賓文翻譯 (Filipino/Tagalog)])</f>
        <v>Kuwadradong Tokwa na may Asin at Paminta</v>
      </c>
      <c r="H240" s="1" t="str">
        <f>_xlfn.XLOOKUP(表格1[[#This Row],[Dish]],dish_trans[中文菜名 (Chinese)],dish_trans[印尼文翻譯 (Indonesian)2])</f>
        <v>Tahu Dadu Garam dan Lada</v>
      </c>
      <c r="I240" s="1" t="s">
        <v>548</v>
      </c>
      <c r="J240" s="1" t="s">
        <v>6</v>
      </c>
      <c r="K240" s="1" t="s">
        <v>6</v>
      </c>
      <c r="L240" s="1" t="s">
        <v>7</v>
      </c>
      <c r="M240" s="1" t="s">
        <v>484</v>
      </c>
      <c r="N240" s="1" t="s">
        <v>463</v>
      </c>
      <c r="O240" s="1" t="s">
        <v>546</v>
      </c>
      <c r="R240" s="2" t="s">
        <v>691</v>
      </c>
    </row>
    <row r="241" spans="1:18" x14ac:dyDescent="0.4">
      <c r="B241" s="1" t="s">
        <v>802</v>
      </c>
      <c r="C241" s="1" t="s">
        <v>655</v>
      </c>
      <c r="D241" s="1" t="s">
        <v>694</v>
      </c>
      <c r="E241" s="1" t="s">
        <v>797</v>
      </c>
      <c r="F241" s="1" t="str">
        <f>_xlfn.XLOOKUP(表格1[[#This Row],[Dish]],dish_trans!A:A,dish_trans!B:B)</f>
        <v>Baked Fried Tofu with Spring Onion Miso and Cheese</v>
      </c>
      <c r="G241" s="1" t="str">
        <f>_xlfn.XLOOKUP(表格1[[#This Row],[Dish]],dish_trans[中文菜名 (Chinese)],dish_trans[菲律賓文翻譯 (Filipino/Tagalog)])</f>
        <v>Inihurnong Pritong Tokwa na may Miso, Dahon ng Sibuyas at Keso</v>
      </c>
      <c r="H241" s="1" t="str">
        <f>_xlfn.XLOOKUP(表格1[[#This Row],[Dish]],dish_trans[中文菜名 (Chinese)],dish_trans[印尼文翻譯 (Indonesian)2])</f>
        <v>Tahu Goreng Panggang dengan Miso Daun Bawang dan Keju</v>
      </c>
      <c r="I241" s="1" t="s">
        <v>548</v>
      </c>
      <c r="J241" s="1" t="s">
        <v>6</v>
      </c>
      <c r="K241" s="1" t="s">
        <v>6</v>
      </c>
      <c r="L241" s="1" t="s">
        <v>7</v>
      </c>
      <c r="M241" s="1" t="s">
        <v>484</v>
      </c>
      <c r="N241" s="1" t="s">
        <v>463</v>
      </c>
      <c r="O241" s="1" t="s">
        <v>544</v>
      </c>
      <c r="R241" s="2" t="s">
        <v>691</v>
      </c>
    </row>
    <row r="242" spans="1:18" x14ac:dyDescent="0.4">
      <c r="B242" s="1" t="s">
        <v>803</v>
      </c>
      <c r="C242" s="1" t="s">
        <v>652</v>
      </c>
      <c r="D242" s="1" t="s">
        <v>694</v>
      </c>
      <c r="E242" s="1" t="s">
        <v>798</v>
      </c>
      <c r="F242" s="1" t="str">
        <f>_xlfn.XLOOKUP(表格1[[#This Row],[Dish]],dish_trans!A:A,dish_trans!B:B)</f>
        <v>Tofu Skin Braised with Spring Onions</v>
      </c>
      <c r="G242" s="1" t="str">
        <f>_xlfn.XLOOKUP(表格1[[#This Row],[Dish]],dish_trans[中文菜名 (Chinese)],dish_trans[菲律賓文翻譯 (Filipino/Tagalog)])</f>
        <v>Balat ng Tokwa na Nilaga sa Dahon ng Sibuyas</v>
      </c>
      <c r="H242" s="1" t="str">
        <f>_xlfn.XLOOKUP(表格1[[#This Row],[Dish]],dish_trans[中文菜名 (Chinese)],dish_trans[印尼文翻譯 (Indonesian)2])</f>
        <v>Kulit Tahu Masak Daun Bawang</v>
      </c>
      <c r="I242" s="1" t="s">
        <v>548</v>
      </c>
      <c r="J242" s="1" t="s">
        <v>6</v>
      </c>
      <c r="K242" s="1" t="s">
        <v>6</v>
      </c>
      <c r="L242" s="1" t="s">
        <v>7</v>
      </c>
      <c r="M242" s="1" t="s">
        <v>484</v>
      </c>
      <c r="N242" s="1" t="s">
        <v>463</v>
      </c>
      <c r="O242" s="1" t="s">
        <v>544</v>
      </c>
      <c r="R242" s="2" t="s">
        <v>691</v>
      </c>
    </row>
    <row r="243" spans="1:18" x14ac:dyDescent="0.4">
      <c r="B243" s="1" t="s">
        <v>810</v>
      </c>
      <c r="C243" s="1" t="s">
        <v>655</v>
      </c>
      <c r="D243" s="1" t="s">
        <v>694</v>
      </c>
      <c r="E243" s="1" t="s">
        <v>804</v>
      </c>
      <c r="F243" s="1" t="str">
        <f>_xlfn.XLOOKUP(表格1[[#This Row],[Dish]],dish_trans!A:A,dish_trans!B:B)</f>
        <v>Japanese Rolled Omelette with Corn</v>
      </c>
      <c r="G243" s="1" t="str">
        <f>_xlfn.XLOOKUP(表格1[[#This Row],[Dish]],dish_trans[中文菜名 (Chinese)],dish_trans[菲律賓文翻譯 (Filipino/Tagalog)])</f>
        <v>Japanese na Nirolyong Omelette na may Mais</v>
      </c>
      <c r="H243" s="1" t="str">
        <f>_xlfn.XLOOKUP(表格1[[#This Row],[Dish]],dish_trans[中文菜名 (Chinese)],dish_trans[印尼文翻譯 (Indonesian)2])</f>
        <v>Telur Dadar Gulung Jepang dengan Jagung</v>
      </c>
      <c r="I243" s="1" t="s">
        <v>559</v>
      </c>
      <c r="J243" s="1" t="s">
        <v>6</v>
      </c>
      <c r="K243" s="1" t="s">
        <v>6</v>
      </c>
      <c r="L243" s="1" t="s">
        <v>7</v>
      </c>
      <c r="M243" s="1" t="s">
        <v>473</v>
      </c>
      <c r="N243" s="1" t="s">
        <v>463</v>
      </c>
      <c r="O243" s="1" t="s">
        <v>546</v>
      </c>
      <c r="R243" s="2" t="s">
        <v>691</v>
      </c>
    </row>
    <row r="244" spans="1:18" x14ac:dyDescent="0.4">
      <c r="B244" s="1" t="s">
        <v>811</v>
      </c>
      <c r="C244" s="1" t="s">
        <v>655</v>
      </c>
      <c r="D244" s="1" t="s">
        <v>694</v>
      </c>
      <c r="E244" s="1" t="s">
        <v>805</v>
      </c>
      <c r="F244" s="1" t="str">
        <f>_xlfn.XLOOKUP(表格1[[#This Row],[Dish]],dish_trans!A:A,dish_trans!B:B)</f>
        <v>Japanese Rolled Omelette with Nori</v>
      </c>
      <c r="G244" s="1" t="str">
        <f>_xlfn.XLOOKUP(表格1[[#This Row],[Dish]],dish_trans[中文菜名 (Chinese)],dish_trans[菲律賓文翻譯 (Filipino/Tagalog)])</f>
        <v>Japanese na Nirolyong Omelette na may Nori</v>
      </c>
      <c r="H244" s="1" t="str">
        <f>_xlfn.XLOOKUP(表格1[[#This Row],[Dish]],dish_trans[中文菜名 (Chinese)],dish_trans[印尼文翻譯 (Indonesian)2])</f>
        <v>Telur Dadar Gulung Jepang dengan Nori</v>
      </c>
      <c r="I244" s="1" t="s">
        <v>559</v>
      </c>
      <c r="J244" s="1" t="s">
        <v>6</v>
      </c>
      <c r="K244" s="1" t="s">
        <v>6</v>
      </c>
      <c r="L244" s="1" t="s">
        <v>7</v>
      </c>
      <c r="M244" s="1" t="s">
        <v>473</v>
      </c>
      <c r="N244" s="1" t="s">
        <v>463</v>
      </c>
      <c r="O244" s="1" t="s">
        <v>546</v>
      </c>
      <c r="R244" s="2" t="s">
        <v>691</v>
      </c>
    </row>
    <row r="245" spans="1:18" x14ac:dyDescent="0.4">
      <c r="A245" s="33" t="s">
        <v>812</v>
      </c>
      <c r="B245" s="1" t="s">
        <v>812</v>
      </c>
      <c r="C245" s="1" t="s">
        <v>652</v>
      </c>
      <c r="D245" s="1" t="s">
        <v>694</v>
      </c>
      <c r="E245" s="1" t="s">
        <v>806</v>
      </c>
      <c r="F245" s="1" t="str">
        <f>_xlfn.XLOOKUP(表格1[[#This Row],[Dish]],dish_trans!A:A,dish_trans!B:B)</f>
        <v>Stir-fried Water Bamboo Shoots with Eggs</v>
      </c>
      <c r="G245" s="1" t="str">
        <f>_xlfn.XLOOKUP(表格1[[#This Row],[Dish]],dish_trans[中文菜名 (Chinese)],dish_trans[菲律賓文翻譯 (Filipino/Tagalog)])</f>
        <v>Ginisang Labong ng Water Bamboo na may Itlog</v>
      </c>
      <c r="H245" s="1" t="str">
        <f>_xlfn.XLOOKUP(表格1[[#This Row],[Dish]],dish_trans[中文菜名 (Chinese)],dish_trans[印尼文翻譯 (Indonesian)2])</f>
        <v>Rebung Bambu Air Tumis Telur</v>
      </c>
      <c r="I245" s="1" t="s">
        <v>548</v>
      </c>
      <c r="J245" s="1" t="s">
        <v>6</v>
      </c>
      <c r="K245" s="1" t="s">
        <v>6</v>
      </c>
      <c r="L245" s="1" t="s">
        <v>7</v>
      </c>
      <c r="M245" s="1" t="s">
        <v>473</v>
      </c>
      <c r="N245" s="1" t="s">
        <v>463</v>
      </c>
      <c r="O245" s="1" t="s">
        <v>546</v>
      </c>
      <c r="R245" s="2" t="s">
        <v>691</v>
      </c>
    </row>
    <row r="246" spans="1:18" x14ac:dyDescent="0.4">
      <c r="A246" s="20" t="s">
        <v>813</v>
      </c>
      <c r="B246" s="1" t="s">
        <v>813</v>
      </c>
      <c r="C246" s="1" t="s">
        <v>652</v>
      </c>
      <c r="D246" s="1" t="s">
        <v>692</v>
      </c>
      <c r="E246" s="1" t="s">
        <v>807</v>
      </c>
      <c r="F246" s="1" t="str">
        <f>_xlfn.XLOOKUP(表格1[[#This Row],[Dish]],dish_trans!A:A,dish_trans!B:B)</f>
        <v>Scrambled Eggs with Shelled Shrimp</v>
      </c>
      <c r="G246" s="1" t="str">
        <f>_xlfn.XLOOKUP(表格1[[#This Row],[Dish]],dish_trans[中文菜名 (Chinese)],dish_trans[菲律賓文翻譯 (Filipino/Tagalog)])</f>
        <v>Binatil na Itlog na may Binalatang Hipon</v>
      </c>
      <c r="H246" s="1" t="str">
        <f>_xlfn.XLOOKUP(表格1[[#This Row],[Dish]],dish_trans[中文菜名 (Chinese)],dish_trans[印尼文翻譯 (Indonesian)2])</f>
        <v>Telur Orak-arik Udang Kupas</v>
      </c>
      <c r="I246" s="1" t="s">
        <v>548</v>
      </c>
      <c r="J246" s="1" t="s">
        <v>6</v>
      </c>
      <c r="K246" s="1" t="s">
        <v>6</v>
      </c>
      <c r="L246" s="1" t="s">
        <v>7</v>
      </c>
      <c r="M246" s="1" t="s">
        <v>473</v>
      </c>
      <c r="N246" s="1" t="s">
        <v>459</v>
      </c>
      <c r="O246" s="1" t="s">
        <v>546</v>
      </c>
      <c r="R246" s="2" t="s">
        <v>691</v>
      </c>
    </row>
    <row r="247" spans="1:18" x14ac:dyDescent="0.4">
      <c r="B247" s="1" t="s">
        <v>814</v>
      </c>
      <c r="C247" s="1" t="s">
        <v>652</v>
      </c>
      <c r="D247" s="1" t="s">
        <v>692</v>
      </c>
      <c r="E247" s="1" t="s">
        <v>808</v>
      </c>
      <c r="F247" s="1" t="str">
        <f>_xlfn.XLOOKUP(表格1[[#This Row],[Dish]],dish_trans!A:A,dish_trans!B:B)</f>
        <v>Omelette with Sakura Shrimp and Preserved Radish</v>
      </c>
      <c r="G247" s="1" t="str">
        <f>_xlfn.XLOOKUP(表格1[[#This Row],[Dish]],dish_trans[中文菜名 (Chinese)],dish_trans[菲律賓文翻譯 (Filipino/Tagalog)])</f>
        <v>Omelette na may Sakura Shrimp at Inasnan na Labanos</v>
      </c>
      <c r="H247" s="1" t="str">
        <f>_xlfn.XLOOKUP(表格1[[#This Row],[Dish]],dish_trans[中文菜名 (Chinese)],dish_trans[印尼文翻譯 (Indonesian)2])</f>
        <v>Telur Dadar Udang Sakura dan Lobak Asin</v>
      </c>
      <c r="I247" s="1" t="s">
        <v>548</v>
      </c>
      <c r="J247" s="1" t="s">
        <v>6</v>
      </c>
      <c r="K247" s="1" t="s">
        <v>6</v>
      </c>
      <c r="L247" s="1" t="s">
        <v>7</v>
      </c>
      <c r="M247" s="1" t="s">
        <v>473</v>
      </c>
      <c r="N247" s="1" t="s">
        <v>459</v>
      </c>
      <c r="O247" s="1" t="s">
        <v>544</v>
      </c>
      <c r="R247" s="2" t="s">
        <v>691</v>
      </c>
    </row>
    <row r="248" spans="1:18" x14ac:dyDescent="0.4">
      <c r="B248" s="1" t="s">
        <v>815</v>
      </c>
      <c r="C248" s="1" t="s">
        <v>655</v>
      </c>
      <c r="D248" s="1" t="s">
        <v>694</v>
      </c>
      <c r="E248" s="1" t="s">
        <v>809</v>
      </c>
      <c r="F248" s="1" t="str">
        <f>_xlfn.XLOOKUP(表格1[[#This Row],[Dish]],dish_trans!A:A,dish_trans!B:B)</f>
        <v>Potato and Egg Salad with Salted Kombu</v>
      </c>
      <c r="G248" s="1" t="str">
        <f>_xlfn.XLOOKUP(表格1[[#This Row],[Dish]],dish_trans[中文菜名 (Chinese)],dish_trans[菲律賓文翻譯 (Filipino/Tagalog)])</f>
        <v>Salad ng Patatas at Itlog na may Inasnan na Kombu</v>
      </c>
      <c r="H248" s="1" t="str">
        <f>_xlfn.XLOOKUP(表格1[[#This Row],[Dish]],dish_trans[中文菜名 (Chinese)],dish_trans[印尼文翻譯 (Indonesian)2])</f>
        <v>Salad Kentang dan Telur dengan Kombu Asin</v>
      </c>
      <c r="I248" s="1" t="s">
        <v>559</v>
      </c>
      <c r="J248" s="1" t="s">
        <v>6</v>
      </c>
      <c r="K248" s="1" t="s">
        <v>6</v>
      </c>
      <c r="L248" s="1" t="s">
        <v>6</v>
      </c>
      <c r="M248" s="1" t="s">
        <v>473</v>
      </c>
      <c r="N248" s="1" t="s">
        <v>463</v>
      </c>
      <c r="O248" s="1" t="s">
        <v>546</v>
      </c>
      <c r="R248" s="2" t="s">
        <v>691</v>
      </c>
    </row>
    <row r="249" spans="1:18" x14ac:dyDescent="0.4">
      <c r="B249" s="1" t="s">
        <v>821</v>
      </c>
      <c r="C249" s="1" t="s">
        <v>652</v>
      </c>
      <c r="D249" s="1" t="s">
        <v>692</v>
      </c>
      <c r="E249" s="6" t="s">
        <v>2316</v>
      </c>
      <c r="F249" s="1" t="str">
        <f>_xlfn.XLOOKUP(表格1[[#This Row],[Dish]],dish_trans!A:A,dish_trans!B:B)</f>
        <v>Wonton Noodle Soup</v>
      </c>
      <c r="G249" s="1" t="str">
        <f>_xlfn.XLOOKUP(表格1[[#This Row],[Dish]],dish_trans[中文菜名 (Chinese)],dish_trans[菲律賓文翻譯 (Filipino/Tagalog)])</f>
        <v>Noodle Soup na may Wonton</v>
      </c>
      <c r="H249" s="1" t="str">
        <f>_xlfn.XLOOKUP(表格1[[#This Row],[Dish]],dish_trans[中文菜名 (Chinese)],dish_trans[印尼文翻譯 (Indonesian)2])</f>
        <v>Mi Kuah Pangsit</v>
      </c>
      <c r="I249" s="1" t="s">
        <v>556</v>
      </c>
      <c r="J249" s="1" t="s">
        <v>6</v>
      </c>
      <c r="K249" s="1" t="s">
        <v>6</v>
      </c>
      <c r="L249" s="1" t="s">
        <v>7</v>
      </c>
      <c r="M249" s="1" t="s">
        <v>461</v>
      </c>
      <c r="N249" s="1" t="s">
        <v>534</v>
      </c>
      <c r="O249" s="1" t="s">
        <v>546</v>
      </c>
      <c r="R249" s="2" t="s">
        <v>691</v>
      </c>
    </row>
    <row r="250" spans="1:18" x14ac:dyDescent="0.4">
      <c r="B250" s="1" t="s">
        <v>822</v>
      </c>
      <c r="C250" s="1" t="s">
        <v>655</v>
      </c>
      <c r="D250" s="1" t="s">
        <v>694</v>
      </c>
      <c r="E250" s="1" t="s">
        <v>816</v>
      </c>
      <c r="F250" s="1" t="str">
        <f>_xlfn.XLOOKUP(表格1[[#This Row],[Dish]],dish_trans!A:A,dish_trans!B:B)</f>
        <v>Cold Udon with Onsen Egg</v>
      </c>
      <c r="G250" s="1" t="str">
        <f>_xlfn.XLOOKUP(表格1[[#This Row],[Dish]],dish_trans[中文菜名 (Chinese)],dish_trans[菲律賓文翻譯 (Filipino/Tagalog)])</f>
        <v>Malamig na Udon na may Onsen Egg</v>
      </c>
      <c r="H250" s="1" t="str">
        <f>_xlfn.XLOOKUP(表格1[[#This Row],[Dish]],dish_trans[中文菜名 (Chinese)],dish_trans[印尼文翻譯 (Indonesian)2])</f>
        <v>Udon Dingin dengan Telur Onsen</v>
      </c>
      <c r="I250" s="1" t="s">
        <v>548</v>
      </c>
      <c r="J250" s="1" t="s">
        <v>6</v>
      </c>
      <c r="K250" s="1" t="s">
        <v>6</v>
      </c>
      <c r="L250" s="1" t="s">
        <v>7</v>
      </c>
      <c r="M250" s="1" t="s">
        <v>473</v>
      </c>
      <c r="N250" s="1" t="s">
        <v>485</v>
      </c>
      <c r="O250" s="1" t="s">
        <v>546</v>
      </c>
      <c r="Q250" s="2" t="s">
        <v>117</v>
      </c>
      <c r="R250" s="2" t="s">
        <v>691</v>
      </c>
    </row>
    <row r="251" spans="1:18" x14ac:dyDescent="0.4">
      <c r="B251" s="1" t="s">
        <v>823</v>
      </c>
      <c r="C251" s="1" t="s">
        <v>655</v>
      </c>
      <c r="D251" s="1" t="s">
        <v>692</v>
      </c>
      <c r="E251" s="1" t="s">
        <v>817</v>
      </c>
      <c r="F251" s="1" t="str">
        <f>_xlfn.XLOOKUP(表格1[[#This Row],[Dish]],dish_trans!A:A,dish_trans!B:B)</f>
        <v>Rice with Onion and Minced Chicken Sauce, Served with Onsen Egg</v>
      </c>
      <c r="G251" s="1" t="str">
        <f>_xlfn.XLOOKUP(表格1[[#This Row],[Dish]],dish_trans[中文菜名 (Chinese)],dish_trans[菲律賓文翻譯 (Filipino/Tagalog)])</f>
        <v>Kanin na may Sarsang Sibuyas at Giniling na Manok, kasama ang Onsen Egg</v>
      </c>
      <c r="H251" s="1" t="str">
        <f>_xlfn.XLOOKUP(表格1[[#This Row],[Dish]],dish_trans[中文菜名 (Chinese)],dish_trans[印尼文翻譯 (Indonesian)2])</f>
        <v>Nasi Saus Bawang Bombai dan Ayam Cincang dengan Telur Onsen</v>
      </c>
      <c r="I251" s="1" t="s">
        <v>548</v>
      </c>
      <c r="J251" s="1" t="s">
        <v>6</v>
      </c>
      <c r="K251" s="1" t="s">
        <v>6</v>
      </c>
      <c r="L251" s="1" t="s">
        <v>7</v>
      </c>
      <c r="M251" s="1" t="s">
        <v>501</v>
      </c>
      <c r="N251" s="1" t="s">
        <v>534</v>
      </c>
      <c r="O251" s="1" t="s">
        <v>542</v>
      </c>
      <c r="R251" s="2" t="s">
        <v>691</v>
      </c>
    </row>
    <row r="252" spans="1:18" x14ac:dyDescent="0.4">
      <c r="B252" s="1" t="s">
        <v>824</v>
      </c>
      <c r="C252" s="1" t="s">
        <v>655</v>
      </c>
      <c r="D252" s="1" t="s">
        <v>693</v>
      </c>
      <c r="E252" s="1" t="s">
        <v>818</v>
      </c>
      <c r="F252" s="1" t="str">
        <f>_xlfn.XLOOKUP(表格1[[#This Row],[Dish]],dish_trans!A:A,dish_trans!B:B)</f>
        <v>Caramelized Corn Rice</v>
      </c>
      <c r="G252" s="1" t="str">
        <f>_xlfn.XLOOKUP(表格1[[#This Row],[Dish]],dish_trans[中文菜名 (Chinese)],dish_trans[菲律賓文翻譯 (Filipino/Tagalog)])</f>
        <v>Kanin na may Mais na Karamelado</v>
      </c>
      <c r="H252" s="1" t="str">
        <f>_xlfn.XLOOKUP(表格1[[#This Row],[Dish]],dish_trans[中文菜名 (Chinese)],dish_trans[印尼文翻譯 (Indonesian)2])</f>
        <v>Nasi Jagung Karamel</v>
      </c>
      <c r="I252" s="1" t="s">
        <v>548</v>
      </c>
      <c r="J252" s="1" t="s">
        <v>6</v>
      </c>
      <c r="K252" s="1" t="s">
        <v>6</v>
      </c>
      <c r="L252" s="1" t="s">
        <v>7</v>
      </c>
      <c r="M252" s="1" t="s">
        <v>471</v>
      </c>
      <c r="N252" s="1" t="s">
        <v>485</v>
      </c>
      <c r="O252" s="1" t="s">
        <v>546</v>
      </c>
      <c r="R252" s="2" t="s">
        <v>691</v>
      </c>
    </row>
    <row r="253" spans="1:18" x14ac:dyDescent="0.4">
      <c r="B253" s="1" t="s">
        <v>825</v>
      </c>
      <c r="C253" s="1" t="s">
        <v>652</v>
      </c>
      <c r="D253" s="1" t="s">
        <v>692</v>
      </c>
      <c r="E253" s="1" t="s">
        <v>819</v>
      </c>
      <c r="F253" s="1" t="str">
        <f>_xlfn.XLOOKUP(表格1[[#This Row],[Dish]],dish_trans!A:A,dish_trans!B:B)</f>
        <v>Fried Rice with Shelled Shrimp</v>
      </c>
      <c r="G253" s="1" t="str">
        <f>_xlfn.XLOOKUP(表格1[[#This Row],[Dish]],dish_trans[中文菜名 (Chinese)],dish_trans[菲律賓文翻譯 (Filipino/Tagalog)])</f>
        <v>Sinangag na may Binalatang Hipon</v>
      </c>
      <c r="H253" s="1" t="str">
        <f>_xlfn.XLOOKUP(表格1[[#This Row],[Dish]],dish_trans[中文菜名 (Chinese)],dish_trans[印尼文翻譯 (Indonesian)2])</f>
        <v>Nasi Goreng Udang Kupas</v>
      </c>
      <c r="I253" s="1" t="s">
        <v>548</v>
      </c>
      <c r="J253" s="1" t="s">
        <v>6</v>
      </c>
      <c r="K253" s="1" t="s">
        <v>6</v>
      </c>
      <c r="L253" s="1" t="s">
        <v>7</v>
      </c>
      <c r="M253" s="1" t="s">
        <v>469</v>
      </c>
      <c r="N253" s="1" t="s">
        <v>534</v>
      </c>
      <c r="O253" s="1" t="s">
        <v>542</v>
      </c>
      <c r="R253" s="2" t="s">
        <v>691</v>
      </c>
    </row>
    <row r="254" spans="1:18" x14ac:dyDescent="0.4">
      <c r="B254" s="1" t="s">
        <v>826</v>
      </c>
      <c r="C254" s="1" t="s">
        <v>714</v>
      </c>
      <c r="D254" s="1" t="s">
        <v>692</v>
      </c>
      <c r="E254" s="1" t="s">
        <v>820</v>
      </c>
      <c r="F254" s="1" t="str">
        <f>_xlfn.XLOOKUP(表格1[[#This Row],[Dish]],dish_trans!A:A,dish_trans!B:B)</f>
        <v>Korean Rice Bowl with Grilled Meat and Seasonal Vegetables</v>
      </c>
      <c r="G254" s="1" t="str">
        <f>_xlfn.XLOOKUP(表格1[[#This Row],[Dish]],dish_trans[中文菜名 (Chinese)],dish_trans[菲律賓文翻譯 (Filipino/Tagalog)])</f>
        <v>Korean na Kanin na may Inihaw na Karne at Pana-panahong Gulay</v>
      </c>
      <c r="H254" s="1" t="str">
        <f>_xlfn.XLOOKUP(表格1[[#This Row],[Dish]],dish_trans[中文菜名 (Chinese)],dish_trans[印尼文翻譯 (Indonesian)2])</f>
        <v>Nasi Campur Daging Panggang dan Sayuran Musiman ala Korea</v>
      </c>
      <c r="I254" s="1" t="s">
        <v>548</v>
      </c>
      <c r="J254" s="1" t="s">
        <v>6</v>
      </c>
      <c r="K254" s="1" t="s">
        <v>6</v>
      </c>
      <c r="L254" s="1" t="s">
        <v>7</v>
      </c>
      <c r="M254" s="1" t="s">
        <v>590</v>
      </c>
      <c r="N254" s="1" t="s">
        <v>534</v>
      </c>
      <c r="O254" s="1" t="s">
        <v>542</v>
      </c>
      <c r="R254" s="2" t="s">
        <v>691</v>
      </c>
    </row>
    <row r="255" spans="1:18" x14ac:dyDescent="0.4">
      <c r="B255" s="1" t="s">
        <v>827</v>
      </c>
      <c r="C255" s="1" t="s">
        <v>652</v>
      </c>
      <c r="D255" s="1" t="s">
        <v>692</v>
      </c>
      <c r="E255" s="6" t="s">
        <v>828</v>
      </c>
      <c r="F255" s="1" t="str">
        <f>_xlfn.XLOOKUP(表格1[[#This Row],[Dish]],dish_trans!A:A,dish_trans!B:B)</f>
        <v>Taiwanese Chicken Rice</v>
      </c>
      <c r="G255" s="1" t="str">
        <f>_xlfn.XLOOKUP(表格1[[#This Row],[Dish]],dish_trans[中文菜名 (Chinese)],dish_trans[菲律賓文翻譯 (Filipino/Tagalog)])</f>
        <v>Kanin na may Manok na Estilong Taiwan</v>
      </c>
      <c r="H255" s="1" t="str">
        <f>_xlfn.XLOOKUP(表格1[[#This Row],[Dish]],dish_trans[中文菜名 (Chinese)],dish_trans[印尼文翻譯 (Indonesian)2])</f>
        <v>Nasi Ayam ala Taiwan</v>
      </c>
      <c r="I255" s="1" t="s">
        <v>548</v>
      </c>
      <c r="J255" s="1" t="s">
        <v>6</v>
      </c>
      <c r="K255" s="1" t="s">
        <v>6</v>
      </c>
      <c r="L255" s="1" t="s">
        <v>7</v>
      </c>
      <c r="M255" s="1" t="s">
        <v>501</v>
      </c>
      <c r="N255" s="1" t="s">
        <v>534</v>
      </c>
      <c r="O255" s="1" t="s">
        <v>542</v>
      </c>
      <c r="R255" s="2" t="s">
        <v>691</v>
      </c>
    </row>
    <row r="256" spans="1:18" x14ac:dyDescent="0.4">
      <c r="B256" s="1" t="s">
        <v>834</v>
      </c>
      <c r="C256" s="1" t="s">
        <v>655</v>
      </c>
      <c r="D256" s="1" t="s">
        <v>692</v>
      </c>
      <c r="E256" s="1" t="s">
        <v>829</v>
      </c>
      <c r="F256" s="1" t="str">
        <f>_xlfn.XLOOKUP(表格1[[#This Row],[Dish]],dish_trans!A:A,dish_trans!B:B)</f>
        <v>Miso Soup with Fried Tofu Pouches</v>
      </c>
      <c r="G256" s="1" t="str">
        <f>_xlfn.XLOOKUP(表格1[[#This Row],[Dish]],dish_trans[中文菜名 (Chinese)],dish_trans[菲律賓文翻譯 (Filipino/Tagalog)])</f>
        <v>Sabaw na Miso na may Aburaage</v>
      </c>
      <c r="H256" s="1" t="str">
        <f>_xlfn.XLOOKUP(表格1[[#This Row],[Dish]],dish_trans[中文菜名 (Chinese)],dish_trans[印尼文翻譯 (Indonesian)2])</f>
        <v>Sup Miso dengan Aburaage</v>
      </c>
      <c r="I256" s="1" t="s">
        <v>497</v>
      </c>
      <c r="J256" s="1" t="s">
        <v>6</v>
      </c>
      <c r="K256" s="1" t="s">
        <v>6</v>
      </c>
      <c r="L256" s="1" t="s">
        <v>7</v>
      </c>
      <c r="M256" s="1" t="s">
        <v>484</v>
      </c>
      <c r="N256" s="1" t="s">
        <v>510</v>
      </c>
      <c r="O256" s="1" t="s">
        <v>542</v>
      </c>
      <c r="R256" s="2" t="s">
        <v>691</v>
      </c>
    </row>
    <row r="257" spans="1:18" x14ac:dyDescent="0.4">
      <c r="B257" s="1" t="s">
        <v>835</v>
      </c>
      <c r="C257" s="1" t="s">
        <v>652</v>
      </c>
      <c r="D257" s="1" t="s">
        <v>692</v>
      </c>
      <c r="E257" s="1" t="s">
        <v>830</v>
      </c>
      <c r="F257" s="1" t="str">
        <f>_xlfn.XLOOKUP(表格1[[#This Row],[Dish]],dish_trans!A:A,dish_trans!B:B)</f>
        <v>Taiwanese Tomato and Egg Drop Chicken Soup</v>
      </c>
      <c r="G257" s="1" t="str">
        <f>_xlfn.XLOOKUP(表格1[[#This Row],[Dish]],dish_trans[中文菜名 (Chinese)],dish_trans[菲律賓文翻譯 (Filipino/Tagalog)])</f>
        <v>Taiwanese na Sabaw ng Manok na may Kamatis at Hibla ng Itlog</v>
      </c>
      <c r="H257" s="1" t="str">
        <f>_xlfn.XLOOKUP(表格1[[#This Row],[Dish]],dish_trans[中文菜名 (Chinese)],dish_trans[印尼文翻譯 (Indonesian)2])</f>
        <v>Sup Ayam Tomat dan Serabut Telur ala Taiwan</v>
      </c>
      <c r="I257" s="1" t="s">
        <v>548</v>
      </c>
      <c r="J257" s="1" t="s">
        <v>6</v>
      </c>
      <c r="K257" s="1" t="s">
        <v>6</v>
      </c>
      <c r="L257" s="1" t="s">
        <v>7</v>
      </c>
      <c r="M257" s="1" t="s">
        <v>473</v>
      </c>
      <c r="N257" s="1" t="s">
        <v>510</v>
      </c>
      <c r="O257" s="1" t="s">
        <v>546</v>
      </c>
      <c r="R257" s="2" t="s">
        <v>691</v>
      </c>
    </row>
    <row r="258" spans="1:18" x14ac:dyDescent="0.4">
      <c r="B258" s="1" t="s">
        <v>836</v>
      </c>
      <c r="C258" s="1" t="s">
        <v>652</v>
      </c>
      <c r="D258" s="1" t="s">
        <v>692</v>
      </c>
      <c r="E258" s="1" t="s">
        <v>831</v>
      </c>
      <c r="F258" s="1" t="str">
        <f>_xlfn.XLOOKUP(表格1[[#This Row],[Dish]],dish_trans!A:A,dish_trans!B:B)</f>
        <v>Taiwanese Clam and Luffa Soup</v>
      </c>
      <c r="G258" s="1" t="str">
        <f>_xlfn.XLOOKUP(表格1[[#This Row],[Dish]],dish_trans[中文菜名 (Chinese)],dish_trans[菲律賓文翻譯 (Filipino/Tagalog)])</f>
        <v>Taiwanese na Sabaw ng Tulya at Patola</v>
      </c>
      <c r="H258" s="1" t="str">
        <f>_xlfn.XLOOKUP(表格1[[#This Row],[Dish]],dish_trans[中文菜名 (Chinese)],dish_trans[印尼文翻譯 (Indonesian)2])</f>
        <v>Sup Kerang dan Oyong ala Taiwan</v>
      </c>
      <c r="I258" s="1" t="s">
        <v>548</v>
      </c>
      <c r="J258" s="1" t="s">
        <v>6</v>
      </c>
      <c r="K258" s="1" t="s">
        <v>6</v>
      </c>
      <c r="L258" s="1" t="s">
        <v>7</v>
      </c>
      <c r="M258" s="1" t="s">
        <v>469</v>
      </c>
      <c r="N258" s="1" t="s">
        <v>510</v>
      </c>
      <c r="O258" s="1" t="s">
        <v>546</v>
      </c>
      <c r="P258" s="1">
        <v>1</v>
      </c>
      <c r="R258" s="2" t="s">
        <v>691</v>
      </c>
    </row>
    <row r="259" spans="1:18" x14ac:dyDescent="0.4">
      <c r="B259" s="1" t="s">
        <v>837</v>
      </c>
      <c r="C259" s="1" t="s">
        <v>714</v>
      </c>
      <c r="D259" s="1" t="s">
        <v>692</v>
      </c>
      <c r="E259" s="1" t="s">
        <v>832</v>
      </c>
      <c r="F259" s="1" t="str">
        <f>_xlfn.XLOOKUP(表格1[[#This Row],[Dish]],dish_trans!A:A,dish_trans!B:B)</f>
        <v>Korean Seaweed and Beef Soup</v>
      </c>
      <c r="G259" s="1" t="str">
        <f>_xlfn.XLOOKUP(表格1[[#This Row],[Dish]],dish_trans[中文菜名 (Chinese)],dish_trans[菲律賓文翻譯 (Filipino/Tagalog)])</f>
        <v>Korean na Sabaw ng Damong-dagat at Baka</v>
      </c>
      <c r="H259" s="1" t="str">
        <f>_xlfn.XLOOKUP(表格1[[#This Row],[Dish]],dish_trans[中文菜名 (Chinese)],dish_trans[印尼文翻譯 (Indonesian)2])</f>
        <v>Sup Rumput Laut dan Sapi ala Korea</v>
      </c>
      <c r="I259" s="1" t="s">
        <v>548</v>
      </c>
      <c r="J259" s="1" t="s">
        <v>6</v>
      </c>
      <c r="K259" s="1" t="s">
        <v>6</v>
      </c>
      <c r="L259" s="1" t="s">
        <v>7</v>
      </c>
      <c r="M259" s="1" t="s">
        <v>590</v>
      </c>
      <c r="N259" s="1" t="s">
        <v>510</v>
      </c>
      <c r="O259" s="1" t="s">
        <v>542</v>
      </c>
      <c r="R259" s="2" t="s">
        <v>691</v>
      </c>
    </row>
    <row r="260" spans="1:18" x14ac:dyDescent="0.4">
      <c r="B260" s="1" t="s">
        <v>838</v>
      </c>
      <c r="C260" s="1" t="s">
        <v>655</v>
      </c>
      <c r="D260" s="1" t="s">
        <v>692</v>
      </c>
      <c r="E260" s="1" t="s">
        <v>833</v>
      </c>
      <c r="F260" s="1" t="str">
        <f>_xlfn.XLOOKUP(表格1[[#This Row],[Dish]],dish_trans!A:A,dish_trans!B:B)</f>
        <v>Radish and Salmon Miso Soup</v>
      </c>
      <c r="G260" s="1" t="str">
        <f>_xlfn.XLOOKUP(表格1[[#This Row],[Dish]],dish_trans[中文菜名 (Chinese)],dish_trans[菲律賓文翻譯 (Filipino/Tagalog)])</f>
        <v>Sabaw na Miso na may Labanos at Salmon</v>
      </c>
      <c r="H260" s="1" t="str">
        <f>_xlfn.XLOOKUP(表格1[[#This Row],[Dish]],dish_trans[中文菜名 (Chinese)],dish_trans[印尼文翻譯 (Indonesian)2])</f>
        <v>Sup Miso Lobak dan Salmon</v>
      </c>
      <c r="I260" s="1" t="s">
        <v>497</v>
      </c>
      <c r="J260" s="1" t="s">
        <v>6</v>
      </c>
      <c r="K260" s="1" t="s">
        <v>6</v>
      </c>
      <c r="L260" s="1" t="s">
        <v>7</v>
      </c>
      <c r="M260" s="1" t="s">
        <v>469</v>
      </c>
      <c r="N260" s="1" t="s">
        <v>510</v>
      </c>
      <c r="O260" s="1" t="s">
        <v>542</v>
      </c>
      <c r="R260" s="2" t="s">
        <v>691</v>
      </c>
    </row>
    <row r="261" spans="1:18" x14ac:dyDescent="0.4">
      <c r="A261" s="33" t="s">
        <v>868</v>
      </c>
      <c r="B261" s="1" t="s">
        <v>868</v>
      </c>
      <c r="C261" s="1" t="s">
        <v>655</v>
      </c>
      <c r="D261" s="1" t="s">
        <v>692</v>
      </c>
      <c r="E261" s="1" t="s">
        <v>839</v>
      </c>
      <c r="F261" s="1" t="str">
        <f>_xlfn.XLOOKUP(表格1[[#This Row],[Dish]],dish_trans!A:A,dish_trans!B:B)</f>
        <v>Japanese-style Onion and Egg Drop Soup</v>
      </c>
      <c r="G261" s="1" t="str">
        <f>_xlfn.XLOOKUP(表格1[[#This Row],[Dish]],dish_trans[中文菜名 (Chinese)],dish_trans[菲律賓文翻譯 (Filipino/Tagalog)])</f>
        <v>Japanese na Sabaw ng Sibuyas at Hibla ng Itlog</v>
      </c>
      <c r="H261" s="1" t="str">
        <f>_xlfn.XLOOKUP(表格1[[#This Row],[Dish]],dish_trans[中文菜名 (Chinese)],dish_trans[印尼文翻譯 (Indonesian)2])</f>
        <v>Sup Bawang Bombai dan Serabut Telur ala Jepang</v>
      </c>
      <c r="I261" s="1" t="s">
        <v>497</v>
      </c>
      <c r="J261" s="1" t="s">
        <v>6</v>
      </c>
      <c r="K261" s="1" t="s">
        <v>6</v>
      </c>
      <c r="L261" s="1" t="s">
        <v>7</v>
      </c>
      <c r="M261" s="1" t="s">
        <v>471</v>
      </c>
      <c r="N261" s="1" t="s">
        <v>510</v>
      </c>
      <c r="O261" s="1" t="s">
        <v>546</v>
      </c>
      <c r="R261" s="2" t="s">
        <v>691</v>
      </c>
    </row>
    <row r="262" spans="1:18" x14ac:dyDescent="0.4">
      <c r="B262" s="1" t="s">
        <v>1263</v>
      </c>
      <c r="C262" s="1" t="s">
        <v>652</v>
      </c>
      <c r="D262" s="1" t="s">
        <v>692</v>
      </c>
      <c r="E262" s="1" t="s">
        <v>1262</v>
      </c>
      <c r="F262" s="1" t="str">
        <f>_xlfn.XLOOKUP(表格1[[#This Row],[Dish]],dish_trans!A:A,dish_trans!B:B)</f>
        <v>Enoki Mushrooms with Fatty Beef</v>
      </c>
      <c r="G262" s="1" t="str">
        <f>_xlfn.XLOOKUP(表格1[[#This Row],[Dish]],dish_trans[中文菜名 (Chinese)],dish_trans[菲律賓文翻譯 (Filipino/Tagalog)])</f>
        <v>Kabuteng Enoki na may Matabang Baka</v>
      </c>
      <c r="H262" s="1" t="str">
        <f>_xlfn.XLOOKUP(表格1[[#This Row],[Dish]],dish_trans[中文菜名 (Chinese)],dish_trans[印尼文翻譯 (Indonesian)2])</f>
        <v>Jamur Enoki dengan Daging Sapi Berlemak</v>
      </c>
      <c r="I262" s="1" t="s">
        <v>548</v>
      </c>
      <c r="J262" s="1" t="s">
        <v>6</v>
      </c>
      <c r="K262" s="1" t="s">
        <v>6</v>
      </c>
      <c r="L262" s="1" t="s">
        <v>7</v>
      </c>
      <c r="M262" s="1" t="s">
        <v>590</v>
      </c>
      <c r="N262" s="1" t="s">
        <v>459</v>
      </c>
      <c r="O262" s="1" t="s">
        <v>542</v>
      </c>
    </row>
  </sheetData>
  <mergeCells count="2">
    <mergeCell ref="I1:L1"/>
    <mergeCell ref="A1:B1"/>
  </mergeCells>
  <phoneticPr fontId="2"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615221A0-F33D-4982-A2C3-03CB64C9C96A}">
          <x14:formula1>
            <xm:f>清單選項!$D$3:$D$12</xm:f>
          </x14:formula1>
          <xm:sqref>M4:M262</xm:sqref>
        </x14:dataValidation>
        <x14:dataValidation type="list" allowBlank="1" showInputMessage="1" showErrorMessage="1" xr:uid="{F389F8A0-3F09-4118-83F8-6C3C693744EA}">
          <x14:formula1>
            <xm:f>清單選項!$E$3:$E$20</xm:f>
          </x14:formula1>
          <xm:sqref>N4:N262</xm:sqref>
        </x14:dataValidation>
        <x14:dataValidation type="list" allowBlank="1" showInputMessage="1" showErrorMessage="1" xr:uid="{0F2395FA-CCB8-4FFE-B38E-3C60079BDA6C}">
          <x14:formula1>
            <xm:f>清單選項!$F$3:$F$5</xm:f>
          </x14:formula1>
          <xm:sqref>O3</xm:sqref>
        </x14:dataValidation>
        <x14:dataValidation type="list" allowBlank="1" showInputMessage="1" showErrorMessage="1" xr:uid="{AF4A0D9E-A52B-4EB8-9FC8-AE147463311F}">
          <x14:formula1>
            <xm:f>清單選項!$F$3:$F$6</xm:f>
          </x14:formula1>
          <xm:sqref>O4:O262</xm:sqref>
        </x14:dataValidation>
        <x14:dataValidation type="list" allowBlank="1" showInputMessage="1" showErrorMessage="1" xr:uid="{0F543B0C-595C-4143-9175-FAC173C2D428}">
          <x14:formula1>
            <xm:f>清單選項!$C$3:$C$8</xm:f>
          </x14:formula1>
          <xm:sqref>I3:I262</xm:sqref>
        </x14:dataValidation>
        <x14:dataValidation type="list" allowBlank="1" showInputMessage="1" showErrorMessage="1" xr:uid="{17990AAD-8E72-44F5-B8BE-816DB7D8FDF6}">
          <x14:formula1>
            <xm:f>清單選項!$B$3:$B$6</xm:f>
          </x14:formula1>
          <xm:sqref>D4:D262</xm:sqref>
        </x14:dataValidation>
        <x14:dataValidation type="list" allowBlank="1" showInputMessage="1" showErrorMessage="1" xr:uid="{8E734410-6859-4916-92B0-2ADF6F9C6AAF}">
          <x14:formula1>
            <xm:f>清單選項!$A$3:$A$11</xm:f>
          </x14:formula1>
          <xm:sqref>C4:C262</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D18FD-706B-423D-A1C9-E7D4E7EB4348}">
  <dimension ref="A1:F263"/>
  <sheetViews>
    <sheetView topLeftCell="A249" workbookViewId="0">
      <selection activeCell="C257" sqref="C257"/>
    </sheetView>
  </sheetViews>
  <sheetFormatPr defaultRowHeight="15.5" x14ac:dyDescent="0.4"/>
  <cols>
    <col min="1" max="1" width="21.81640625" style="1" bestFit="1" customWidth="1"/>
    <col min="2" max="3" width="8.7265625" style="1"/>
    <col min="4" max="4" width="17.08984375" style="1" bestFit="1" customWidth="1"/>
    <col min="5" max="5" width="10.36328125" style="1" bestFit="1" customWidth="1"/>
    <col min="6" max="16384" width="8.7265625" style="1"/>
  </cols>
  <sheetData>
    <row r="1" spans="1:6" ht="17" x14ac:dyDescent="0.4">
      <c r="A1" s="19" t="s">
        <v>853</v>
      </c>
      <c r="B1" s="8" t="s">
        <v>258</v>
      </c>
      <c r="C1" s="8" t="s">
        <v>259</v>
      </c>
      <c r="D1" s="8" t="s">
        <v>260</v>
      </c>
      <c r="E1" s="8" t="s">
        <v>261</v>
      </c>
      <c r="F1" s="8" t="s">
        <v>262</v>
      </c>
    </row>
    <row r="2" spans="1:6" ht="17" x14ac:dyDescent="0.4">
      <c r="A2" s="1" t="str">
        <f>_xlfn.XLOOKUP(B2,表格1[ID],表格1[Dish])</f>
        <v>燕麥蒸肉餅</v>
      </c>
      <c r="B2" s="1" t="s">
        <v>125</v>
      </c>
      <c r="C2" s="1" t="s">
        <v>263</v>
      </c>
      <c r="D2" s="1" t="s">
        <v>1102</v>
      </c>
      <c r="E2" s="23">
        <v>4</v>
      </c>
      <c r="F2" s="1" t="s">
        <v>264</v>
      </c>
    </row>
    <row r="3" spans="1:6" ht="17" x14ac:dyDescent="0.4">
      <c r="A3" s="1" t="str">
        <f>_xlfn.XLOOKUP(B3,表格1[ID],表格1[Dish])</f>
        <v>燕麥蒸肉餅</v>
      </c>
      <c r="B3" s="1" t="s">
        <v>125</v>
      </c>
      <c r="C3" s="1" t="s">
        <v>263</v>
      </c>
      <c r="D3" s="1" t="s">
        <v>1103</v>
      </c>
      <c r="E3" s="23">
        <v>2</v>
      </c>
      <c r="F3" s="1" t="s">
        <v>265</v>
      </c>
    </row>
    <row r="4" spans="1:6" ht="17" x14ac:dyDescent="0.4">
      <c r="A4" s="1" t="str">
        <f>_xlfn.XLOOKUP(B4,表格1[ID],表格1[Dish])</f>
        <v>燕麥蒸肉餅</v>
      </c>
      <c r="B4" s="1" t="s">
        <v>125</v>
      </c>
      <c r="C4" s="1" t="s">
        <v>263</v>
      </c>
      <c r="D4" s="1" t="s">
        <v>1104</v>
      </c>
      <c r="E4" s="23">
        <v>120</v>
      </c>
      <c r="F4" s="1" t="s">
        <v>243</v>
      </c>
    </row>
    <row r="5" spans="1:6" ht="17" x14ac:dyDescent="0.4">
      <c r="A5" s="1" t="str">
        <f>_xlfn.XLOOKUP(B5,表格1[ID],表格1[Dish])</f>
        <v>燕麥蒸肉餅</v>
      </c>
      <c r="B5" s="1" t="s">
        <v>124</v>
      </c>
      <c r="C5" s="1" t="s">
        <v>266</v>
      </c>
      <c r="D5" s="1" t="s">
        <v>430</v>
      </c>
      <c r="E5" s="23">
        <v>0.5</v>
      </c>
      <c r="F5" s="1" t="s">
        <v>267</v>
      </c>
    </row>
    <row r="6" spans="1:6" ht="17" x14ac:dyDescent="0.4">
      <c r="A6" s="1" t="str">
        <f>_xlfn.XLOOKUP(B6,表格1[ID],表格1[Dish])</f>
        <v>燕麥蒸肉餅</v>
      </c>
      <c r="B6" s="1" t="s">
        <v>124</v>
      </c>
      <c r="C6" s="1" t="s">
        <v>266</v>
      </c>
      <c r="D6" s="1" t="s">
        <v>1105</v>
      </c>
      <c r="E6" s="23">
        <v>0.5</v>
      </c>
      <c r="F6" s="1" t="s">
        <v>267</v>
      </c>
    </row>
    <row r="7" spans="1:6" ht="17" x14ac:dyDescent="0.4">
      <c r="A7" s="1" t="str">
        <f>_xlfn.XLOOKUP(B7,表格1[ID],表格1[Dish])</f>
        <v>燕麥蒸肉餅</v>
      </c>
      <c r="B7" s="1" t="s">
        <v>124</v>
      </c>
      <c r="C7" s="1" t="s">
        <v>266</v>
      </c>
      <c r="D7" s="1" t="s">
        <v>1106</v>
      </c>
      <c r="E7" s="23">
        <v>0.5</v>
      </c>
      <c r="F7" s="1" t="s">
        <v>267</v>
      </c>
    </row>
    <row r="8" spans="1:6" ht="17" x14ac:dyDescent="0.4">
      <c r="A8" s="1" t="str">
        <f>_xlfn.XLOOKUP(B8,表格1[ID],表格1[Dish])</f>
        <v>燕麥蒸肉餅</v>
      </c>
      <c r="B8" s="1" t="s">
        <v>124</v>
      </c>
      <c r="C8" s="1" t="s">
        <v>266</v>
      </c>
      <c r="D8" s="1" t="s">
        <v>1128</v>
      </c>
      <c r="E8" s="23">
        <v>1</v>
      </c>
      <c r="F8" s="1" t="s">
        <v>267</v>
      </c>
    </row>
    <row r="9" spans="1:6" ht="17" x14ac:dyDescent="0.4">
      <c r="A9" s="1" t="str">
        <f>_xlfn.XLOOKUP(B9,表格1[ID],表格1[Dish])</f>
        <v>燕麥蒸肉餅</v>
      </c>
      <c r="B9" s="1" t="s">
        <v>124</v>
      </c>
      <c r="C9" s="1" t="s">
        <v>268</v>
      </c>
      <c r="D9" s="1" t="s">
        <v>1129</v>
      </c>
      <c r="E9" s="23" t="s">
        <v>1132</v>
      </c>
      <c r="F9" s="1" t="s">
        <v>235</v>
      </c>
    </row>
    <row r="10" spans="1:6" ht="17" x14ac:dyDescent="0.4">
      <c r="A10" s="1" t="str">
        <f>_xlfn.XLOOKUP(B10,表格1[ID],表格1[Dish])</f>
        <v>椰青木瓜果凍</v>
      </c>
      <c r="B10" s="1" t="s">
        <v>213</v>
      </c>
      <c r="C10" s="1" t="s">
        <v>263</v>
      </c>
      <c r="D10" s="1" t="s">
        <v>1130</v>
      </c>
      <c r="E10" s="23">
        <v>0.5</v>
      </c>
      <c r="F10" s="1" t="s">
        <v>270</v>
      </c>
    </row>
    <row r="11" spans="1:6" ht="17" x14ac:dyDescent="0.4">
      <c r="A11" s="1" t="str">
        <f>_xlfn.XLOOKUP(B11,表格1[ID],表格1[Dish])</f>
        <v>椰青木瓜果凍</v>
      </c>
      <c r="B11" s="1" t="s">
        <v>213</v>
      </c>
      <c r="C11" s="1" t="s">
        <v>263</v>
      </c>
      <c r="D11" s="1" t="s">
        <v>1131</v>
      </c>
      <c r="E11" s="23">
        <v>200</v>
      </c>
      <c r="F11" s="1" t="s">
        <v>243</v>
      </c>
    </row>
    <row r="12" spans="1:6" ht="17" x14ac:dyDescent="0.4">
      <c r="A12" s="1" t="str">
        <f>_xlfn.XLOOKUP(B12,表格1[ID],表格1[Dish])</f>
        <v>椰青木瓜果凍</v>
      </c>
      <c r="B12" s="1" t="s">
        <v>213</v>
      </c>
      <c r="C12" s="1" t="s">
        <v>263</v>
      </c>
      <c r="D12" s="1" t="s">
        <v>254</v>
      </c>
      <c r="E12" s="23">
        <v>250</v>
      </c>
      <c r="F12" s="1" t="s">
        <v>243</v>
      </c>
    </row>
    <row r="13" spans="1:6" ht="17" x14ac:dyDescent="0.4">
      <c r="A13" s="1" t="str">
        <f>_xlfn.XLOOKUP(B13,表格1[ID],表格1[Dish])</f>
        <v>椰青木瓜果凍</v>
      </c>
      <c r="B13" s="1" t="s">
        <v>213</v>
      </c>
      <c r="C13" s="1" t="s">
        <v>1137</v>
      </c>
      <c r="D13" s="1" t="s">
        <v>256</v>
      </c>
      <c r="E13" s="23">
        <v>5</v>
      </c>
      <c r="F13" s="1" t="s">
        <v>271</v>
      </c>
    </row>
    <row r="14" spans="1:6" ht="17" x14ac:dyDescent="0.4">
      <c r="A14" s="1" t="str">
        <f>_xlfn.XLOOKUP(B14,表格1[ID],表格1[Dish])</f>
        <v>椰青木瓜果凍</v>
      </c>
      <c r="B14" s="1" t="s">
        <v>213</v>
      </c>
      <c r="C14" s="1" t="s">
        <v>1138</v>
      </c>
      <c r="D14" s="1" t="s">
        <v>238</v>
      </c>
      <c r="E14" s="23">
        <v>30</v>
      </c>
      <c r="F14" s="1" t="s">
        <v>271</v>
      </c>
    </row>
    <row r="15" spans="1:6" ht="17" x14ac:dyDescent="0.4">
      <c r="A15" s="1" t="str">
        <f>_xlfn.XLOOKUP(B15,表格1[ID],表格1[Dish])</f>
        <v>紫薯布甸</v>
      </c>
      <c r="B15" s="1" t="s">
        <v>205</v>
      </c>
      <c r="C15" s="1" t="s">
        <v>1137</v>
      </c>
      <c r="D15" s="1" t="s">
        <v>275</v>
      </c>
      <c r="E15" s="23">
        <v>300</v>
      </c>
      <c r="F15" s="1" t="s">
        <v>271</v>
      </c>
    </row>
    <row r="16" spans="1:6" ht="17" x14ac:dyDescent="0.4">
      <c r="A16" s="1" t="str">
        <f>_xlfn.XLOOKUP(B16,表格1[ID],表格1[Dish])</f>
        <v>紫薯布甸</v>
      </c>
      <c r="B16" s="1" t="s">
        <v>205</v>
      </c>
      <c r="C16" s="1" t="s">
        <v>263</v>
      </c>
      <c r="D16" s="1" t="s">
        <v>277</v>
      </c>
      <c r="E16" s="23">
        <v>200</v>
      </c>
      <c r="F16" s="1" t="s">
        <v>243</v>
      </c>
    </row>
    <row r="17" spans="1:6" ht="17" x14ac:dyDescent="0.4">
      <c r="A17" s="1" t="str">
        <f>_xlfn.XLOOKUP(B17,表格1[ID],表格1[Dish])</f>
        <v>紫薯布甸</v>
      </c>
      <c r="B17" s="1" t="s">
        <v>205</v>
      </c>
      <c r="C17" s="1" t="s">
        <v>263</v>
      </c>
      <c r="D17" s="1" t="s">
        <v>279</v>
      </c>
      <c r="E17" s="23">
        <v>300</v>
      </c>
      <c r="F17" s="1" t="s">
        <v>243</v>
      </c>
    </row>
    <row r="18" spans="1:6" ht="17" x14ac:dyDescent="0.4">
      <c r="A18" s="1" t="str">
        <f>_xlfn.XLOOKUP(B18,表格1[ID],表格1[Dish])</f>
        <v>紫薯布甸</v>
      </c>
      <c r="B18" s="1" t="s">
        <v>205</v>
      </c>
      <c r="C18" s="1" t="s">
        <v>266</v>
      </c>
      <c r="D18" s="1" t="s">
        <v>238</v>
      </c>
      <c r="E18" s="23">
        <v>50</v>
      </c>
      <c r="F18" s="1" t="s">
        <v>271</v>
      </c>
    </row>
    <row r="19" spans="1:6" ht="17" x14ac:dyDescent="0.4">
      <c r="A19" s="1" t="str">
        <f>_xlfn.XLOOKUP(B19,表格1[ID],表格1[Dish])</f>
        <v>紫薯布甸</v>
      </c>
      <c r="B19" s="1" t="s">
        <v>205</v>
      </c>
      <c r="C19" s="1" t="s">
        <v>263</v>
      </c>
      <c r="D19" s="1" t="s">
        <v>281</v>
      </c>
      <c r="E19" s="23">
        <v>3</v>
      </c>
      <c r="F19" s="1" t="s">
        <v>377</v>
      </c>
    </row>
    <row r="20" spans="1:6" ht="17" x14ac:dyDescent="0.4">
      <c r="A20" s="1" t="str">
        <f>_xlfn.XLOOKUP(B20,表格1[ID],表格1[Dish])</f>
        <v>焗葡汁白菌豆腐飯</v>
      </c>
      <c r="B20" s="1" t="s">
        <v>204</v>
      </c>
      <c r="C20" s="1" t="s">
        <v>263</v>
      </c>
      <c r="D20" s="1" t="s">
        <v>286</v>
      </c>
      <c r="E20" s="23">
        <v>2</v>
      </c>
      <c r="F20" s="1" t="s">
        <v>378</v>
      </c>
    </row>
    <row r="21" spans="1:6" ht="17" x14ac:dyDescent="0.4">
      <c r="A21" s="1" t="str">
        <f>_xlfn.XLOOKUP(B21,表格1[ID],表格1[Dish])</f>
        <v>焗葡汁白菌豆腐飯</v>
      </c>
      <c r="B21" s="1" t="s">
        <v>204</v>
      </c>
      <c r="C21" s="1" t="s">
        <v>263</v>
      </c>
      <c r="D21" s="1" t="s">
        <v>288</v>
      </c>
      <c r="E21" s="23">
        <v>0.5</v>
      </c>
      <c r="F21" s="1" t="s">
        <v>379</v>
      </c>
    </row>
    <row r="22" spans="1:6" ht="17" x14ac:dyDescent="0.4">
      <c r="A22" s="1" t="str">
        <f>_xlfn.XLOOKUP(B22,表格1[ID],表格1[Dish])</f>
        <v>焗葡汁白菌豆腐飯</v>
      </c>
      <c r="B22" s="1" t="s">
        <v>204</v>
      </c>
      <c r="C22" s="1" t="s">
        <v>263</v>
      </c>
      <c r="D22" s="1" t="s">
        <v>290</v>
      </c>
      <c r="E22" s="23">
        <v>1</v>
      </c>
      <c r="F22" s="1" t="s">
        <v>380</v>
      </c>
    </row>
    <row r="23" spans="1:6" ht="17" x14ac:dyDescent="0.4">
      <c r="A23" s="1" t="str">
        <f>_xlfn.XLOOKUP(B23,表格1[ID],表格1[Dish])</f>
        <v>焗葡汁白菌豆腐飯</v>
      </c>
      <c r="B23" s="1" t="s">
        <v>204</v>
      </c>
      <c r="C23" s="1" t="s">
        <v>263</v>
      </c>
      <c r="D23" s="1" t="s">
        <v>292</v>
      </c>
      <c r="E23" s="23">
        <v>2</v>
      </c>
      <c r="F23" s="1" t="s">
        <v>380</v>
      </c>
    </row>
    <row r="24" spans="1:6" ht="17" x14ac:dyDescent="0.4">
      <c r="A24" s="1" t="str">
        <f>_xlfn.XLOOKUP(B24,表格1[ID],表格1[Dish])</f>
        <v>焗葡汁白菌豆腐飯</v>
      </c>
      <c r="B24" s="1" t="s">
        <v>204</v>
      </c>
      <c r="C24" s="1" t="s">
        <v>263</v>
      </c>
      <c r="D24" s="1" t="s">
        <v>294</v>
      </c>
      <c r="E24" s="23">
        <v>250</v>
      </c>
      <c r="F24" s="1" t="s">
        <v>243</v>
      </c>
    </row>
    <row r="25" spans="1:6" ht="17" x14ac:dyDescent="0.4">
      <c r="A25" s="1" t="str">
        <f>_xlfn.XLOOKUP(B25,表格1[ID],表格1[Dish])</f>
        <v>焗葡汁白菌豆腐飯</v>
      </c>
      <c r="B25" s="1" t="s">
        <v>204</v>
      </c>
      <c r="C25" s="1" t="s">
        <v>263</v>
      </c>
      <c r="D25" s="1" t="s">
        <v>279</v>
      </c>
      <c r="E25" s="23">
        <v>100</v>
      </c>
      <c r="F25" s="1" t="s">
        <v>243</v>
      </c>
    </row>
    <row r="26" spans="1:6" ht="17" x14ac:dyDescent="0.4">
      <c r="A26" s="1" t="str">
        <f>_xlfn.XLOOKUP(B26,表格1[ID],表格1[Dish])</f>
        <v>焗葡汁白菌豆腐飯</v>
      </c>
      <c r="B26" s="1" t="s">
        <v>204</v>
      </c>
      <c r="C26" s="1" t="s">
        <v>263</v>
      </c>
      <c r="D26" s="1" t="s">
        <v>252</v>
      </c>
      <c r="E26" s="23">
        <v>120</v>
      </c>
      <c r="F26" s="1" t="s">
        <v>243</v>
      </c>
    </row>
    <row r="27" spans="1:6" ht="17" x14ac:dyDescent="0.4">
      <c r="A27" s="1" t="str">
        <f>_xlfn.XLOOKUP(B27,表格1[ID],表格1[Dish])</f>
        <v>焗葡汁白菌豆腐飯</v>
      </c>
      <c r="B27" s="1" t="s">
        <v>204</v>
      </c>
      <c r="C27" s="1" t="s">
        <v>263</v>
      </c>
      <c r="D27" s="1" t="s">
        <v>302</v>
      </c>
      <c r="E27" s="23">
        <v>2</v>
      </c>
      <c r="F27" s="1" t="s">
        <v>377</v>
      </c>
    </row>
    <row r="28" spans="1:6" ht="17" x14ac:dyDescent="0.4">
      <c r="A28" s="1" t="str">
        <f>_xlfn.XLOOKUP(B28,表格1[ID],表格1[Dish])</f>
        <v>焗葡汁白菌豆腐飯</v>
      </c>
      <c r="B28" s="1" t="s">
        <v>204</v>
      </c>
      <c r="C28" s="1" t="s">
        <v>263</v>
      </c>
      <c r="D28" s="1" t="s">
        <v>296</v>
      </c>
      <c r="E28" s="23" t="s">
        <v>269</v>
      </c>
      <c r="F28" s="1" t="s">
        <v>235</v>
      </c>
    </row>
    <row r="29" spans="1:6" ht="17" x14ac:dyDescent="0.4">
      <c r="A29" s="1" t="str">
        <f>_xlfn.XLOOKUP(B29,表格1[ID],表格1[Dish])</f>
        <v>焗葡汁白菌豆腐飯</v>
      </c>
      <c r="B29" s="1" t="s">
        <v>204</v>
      </c>
      <c r="C29" s="1" t="s">
        <v>263</v>
      </c>
      <c r="D29" s="1" t="s">
        <v>298</v>
      </c>
      <c r="E29" s="23" t="s">
        <v>381</v>
      </c>
      <c r="F29" s="1" t="s">
        <v>235</v>
      </c>
    </row>
    <row r="30" spans="1:6" ht="17" x14ac:dyDescent="0.4">
      <c r="A30" s="1" t="str">
        <f>_xlfn.XLOOKUP(B30,表格1[ID],表格1[Dish])</f>
        <v>焗葡汁白菌豆腐飯</v>
      </c>
      <c r="B30" s="1" t="s">
        <v>204</v>
      </c>
      <c r="C30" s="1" t="s">
        <v>266</v>
      </c>
      <c r="D30" s="1" t="s">
        <v>238</v>
      </c>
      <c r="E30" s="23">
        <v>0.5</v>
      </c>
      <c r="F30" s="1" t="s">
        <v>380</v>
      </c>
    </row>
    <row r="31" spans="1:6" ht="17" x14ac:dyDescent="0.4">
      <c r="A31" s="1" t="str">
        <f>_xlfn.XLOOKUP(B31,表格1[ID],表格1[Dish])</f>
        <v>焗葡汁白菌豆腐飯</v>
      </c>
      <c r="B31" s="1" t="s">
        <v>204</v>
      </c>
      <c r="C31" s="1" t="s">
        <v>266</v>
      </c>
      <c r="D31" s="1" t="s">
        <v>236</v>
      </c>
      <c r="E31" s="23">
        <v>1.5</v>
      </c>
      <c r="F31" s="1" t="s">
        <v>380</v>
      </c>
    </row>
    <row r="32" spans="1:6" ht="17" x14ac:dyDescent="0.4">
      <c r="A32" s="1" t="str">
        <f>_xlfn.XLOOKUP(B32,表格1[ID],表格1[Dish])</f>
        <v>焗葡汁白菌豆腐飯</v>
      </c>
      <c r="B32" s="1" t="s">
        <v>204</v>
      </c>
      <c r="C32" s="1" t="s">
        <v>263</v>
      </c>
      <c r="D32" s="1" t="s">
        <v>300</v>
      </c>
      <c r="E32" s="23">
        <v>2</v>
      </c>
      <c r="F32" s="1" t="s">
        <v>377</v>
      </c>
    </row>
    <row r="33" spans="1:6" ht="17" x14ac:dyDescent="0.4">
      <c r="A33" s="1" t="str">
        <f>_xlfn.XLOOKUP(B33,表格1[ID],表格1[Dish])</f>
        <v>焗葡汁白菌豆腐飯</v>
      </c>
      <c r="B33" s="1" t="s">
        <v>204</v>
      </c>
      <c r="C33" s="1" t="s">
        <v>266</v>
      </c>
      <c r="D33" s="1" t="s">
        <v>430</v>
      </c>
      <c r="E33" s="23" t="s">
        <v>381</v>
      </c>
      <c r="F33" s="1" t="s">
        <v>235</v>
      </c>
    </row>
    <row r="34" spans="1:6" ht="17" x14ac:dyDescent="0.4">
      <c r="A34" s="1" t="str">
        <f>_xlfn.XLOOKUP(B34,表格1[ID],表格1[Dish])</f>
        <v>焗葡汁白菌豆腐飯</v>
      </c>
      <c r="B34" s="1" t="s">
        <v>204</v>
      </c>
      <c r="C34" s="1" t="s">
        <v>382</v>
      </c>
      <c r="D34" s="1" t="s">
        <v>240</v>
      </c>
      <c r="E34" s="23">
        <v>2</v>
      </c>
      <c r="F34" s="1" t="s">
        <v>380</v>
      </c>
    </row>
    <row r="35" spans="1:6" ht="17" x14ac:dyDescent="0.4">
      <c r="A35" s="1" t="str">
        <f>_xlfn.XLOOKUP(B35,表格1[ID],表格1[Dish])</f>
        <v>焗葡汁白菌豆腐飯</v>
      </c>
      <c r="B35" s="1" t="s">
        <v>204</v>
      </c>
      <c r="C35" s="1" t="s">
        <v>382</v>
      </c>
      <c r="D35" s="1" t="s">
        <v>233</v>
      </c>
      <c r="E35" s="23">
        <v>2</v>
      </c>
      <c r="F35" s="1" t="s">
        <v>377</v>
      </c>
    </row>
    <row r="36" spans="1:6" ht="17" x14ac:dyDescent="0.4">
      <c r="A36" s="1" t="str">
        <f>_xlfn.XLOOKUP(B36,表格1[ID],表格1[Dish])</f>
        <v>素羅宋湯</v>
      </c>
      <c r="B36" s="1" t="s">
        <v>203</v>
      </c>
      <c r="C36" s="1" t="s">
        <v>263</v>
      </c>
      <c r="D36" s="1" t="s">
        <v>304</v>
      </c>
      <c r="E36" s="23">
        <v>3</v>
      </c>
      <c r="F36" s="1" t="s">
        <v>383</v>
      </c>
    </row>
    <row r="37" spans="1:6" ht="17" x14ac:dyDescent="0.4">
      <c r="A37" s="1" t="str">
        <f>_xlfn.XLOOKUP(B37,表格1[ID],表格1[Dish])</f>
        <v>素羅宋湯</v>
      </c>
      <c r="B37" s="1" t="s">
        <v>203</v>
      </c>
      <c r="C37" s="1" t="s">
        <v>263</v>
      </c>
      <c r="D37" s="1" t="s">
        <v>306</v>
      </c>
      <c r="E37" s="23">
        <v>1</v>
      </c>
      <c r="F37" s="1" t="s">
        <v>383</v>
      </c>
    </row>
    <row r="38" spans="1:6" ht="17" x14ac:dyDescent="0.4">
      <c r="A38" s="1" t="str">
        <f>_xlfn.XLOOKUP(B38,表格1[ID],表格1[Dish])</f>
        <v>素羅宋湯</v>
      </c>
      <c r="B38" s="1" t="s">
        <v>203</v>
      </c>
      <c r="C38" s="1" t="s">
        <v>263</v>
      </c>
      <c r="D38" s="1" t="s">
        <v>308</v>
      </c>
      <c r="E38" s="23">
        <v>1</v>
      </c>
      <c r="F38" s="1" t="s">
        <v>384</v>
      </c>
    </row>
    <row r="39" spans="1:6" ht="17" x14ac:dyDescent="0.4">
      <c r="A39" s="1" t="str">
        <f>_xlfn.XLOOKUP(B39,表格1[ID],表格1[Dish])</f>
        <v>素羅宋湯</v>
      </c>
      <c r="B39" s="1" t="s">
        <v>203</v>
      </c>
      <c r="C39" s="1" t="s">
        <v>263</v>
      </c>
      <c r="D39" s="1" t="s">
        <v>841</v>
      </c>
      <c r="E39" s="23">
        <v>0.5</v>
      </c>
      <c r="F39" s="1" t="s">
        <v>383</v>
      </c>
    </row>
    <row r="40" spans="1:6" ht="17" x14ac:dyDescent="0.4">
      <c r="A40" s="1" t="str">
        <f>_xlfn.XLOOKUP(B40,表格1[ID],表格1[Dish])</f>
        <v>素羅宋湯</v>
      </c>
      <c r="B40" s="1" t="s">
        <v>203</v>
      </c>
      <c r="C40" s="1" t="s">
        <v>263</v>
      </c>
      <c r="D40" s="1" t="s">
        <v>310</v>
      </c>
      <c r="E40" s="23">
        <v>0.5</v>
      </c>
      <c r="F40" s="1" t="s">
        <v>379</v>
      </c>
    </row>
    <row r="41" spans="1:6" ht="17" x14ac:dyDescent="0.4">
      <c r="A41" s="1" t="str">
        <f>_xlfn.XLOOKUP(B41,表格1[ID],表格1[Dish])</f>
        <v>素羅宋湯</v>
      </c>
      <c r="B41" s="1" t="s">
        <v>203</v>
      </c>
      <c r="C41" s="1" t="s">
        <v>263</v>
      </c>
      <c r="D41" s="1" t="s">
        <v>300</v>
      </c>
      <c r="E41" s="23">
        <v>2</v>
      </c>
      <c r="F41" s="1" t="s">
        <v>377</v>
      </c>
    </row>
    <row r="42" spans="1:6" ht="17" x14ac:dyDescent="0.4">
      <c r="A42" s="1" t="str">
        <f>_xlfn.XLOOKUP(B42,表格1[ID],表格1[Dish])</f>
        <v>素羅宋湯</v>
      </c>
      <c r="B42" s="1" t="s">
        <v>203</v>
      </c>
      <c r="C42" s="1" t="s">
        <v>263</v>
      </c>
      <c r="D42" s="1" t="s">
        <v>314</v>
      </c>
      <c r="E42" s="23">
        <v>2</v>
      </c>
      <c r="F42" s="1" t="s">
        <v>377</v>
      </c>
    </row>
    <row r="43" spans="1:6" ht="17" x14ac:dyDescent="0.4">
      <c r="A43" s="1" t="str">
        <f>_xlfn.XLOOKUP(B43,表格1[ID],表格1[Dish])</f>
        <v>素羅宋湯</v>
      </c>
      <c r="B43" s="1" t="s">
        <v>203</v>
      </c>
      <c r="C43" s="1" t="s">
        <v>263</v>
      </c>
      <c r="D43" s="1" t="s">
        <v>294</v>
      </c>
      <c r="E43" s="23">
        <v>1</v>
      </c>
      <c r="F43" s="1" t="s">
        <v>385</v>
      </c>
    </row>
    <row r="44" spans="1:6" ht="17" x14ac:dyDescent="0.4">
      <c r="A44" s="1" t="str">
        <f>_xlfn.XLOOKUP(B44,表格1[ID],表格1[Dish])</f>
        <v>素羅宋湯</v>
      </c>
      <c r="B44" s="1" t="s">
        <v>203</v>
      </c>
      <c r="C44" s="1" t="s">
        <v>263</v>
      </c>
      <c r="D44" s="1" t="s">
        <v>233</v>
      </c>
      <c r="E44" s="23">
        <v>2</v>
      </c>
      <c r="F44" s="1" t="s">
        <v>385</v>
      </c>
    </row>
    <row r="45" spans="1:6" ht="17" x14ac:dyDescent="0.4">
      <c r="A45" s="1" t="str">
        <f>_xlfn.XLOOKUP(B45,表格1[ID],表格1[Dish])</f>
        <v>素羅宋湯</v>
      </c>
      <c r="B45" s="1" t="s">
        <v>203</v>
      </c>
      <c r="C45" s="1" t="s">
        <v>266</v>
      </c>
      <c r="D45" s="1" t="s">
        <v>238</v>
      </c>
      <c r="E45" s="23">
        <v>2</v>
      </c>
      <c r="F45" s="1" t="s">
        <v>380</v>
      </c>
    </row>
    <row r="46" spans="1:6" ht="17" x14ac:dyDescent="0.4">
      <c r="A46" s="1" t="str">
        <f>_xlfn.XLOOKUP(B46,表格1[ID],表格1[Dish])</f>
        <v>素羅宋湯</v>
      </c>
      <c r="B46" s="1" t="s">
        <v>203</v>
      </c>
      <c r="C46" s="1" t="s">
        <v>266</v>
      </c>
      <c r="D46" s="1" t="s">
        <v>312</v>
      </c>
      <c r="E46" s="23" t="s">
        <v>381</v>
      </c>
      <c r="F46" s="1" t="s">
        <v>235</v>
      </c>
    </row>
    <row r="47" spans="1:6" ht="17" x14ac:dyDescent="0.4">
      <c r="A47" s="1" t="str">
        <f>_xlfn.XLOOKUP(B47,表格1[ID],表格1[Dish])</f>
        <v>薯仔沙律蛋包</v>
      </c>
      <c r="B47" s="1" t="s">
        <v>202</v>
      </c>
      <c r="C47" s="1" t="s">
        <v>263</v>
      </c>
      <c r="D47" s="1" t="s">
        <v>317</v>
      </c>
      <c r="E47" s="23">
        <v>2</v>
      </c>
      <c r="F47" s="1" t="s">
        <v>383</v>
      </c>
    </row>
    <row r="48" spans="1:6" ht="17" x14ac:dyDescent="0.4">
      <c r="A48" s="1" t="str">
        <f>_xlfn.XLOOKUP(B48,表格1[ID],表格1[Dish])</f>
        <v>薯仔沙律蛋包</v>
      </c>
      <c r="B48" s="1" t="s">
        <v>202</v>
      </c>
      <c r="C48" s="1" t="s">
        <v>263</v>
      </c>
      <c r="D48" s="1" t="s">
        <v>306</v>
      </c>
      <c r="E48" s="23">
        <v>2</v>
      </c>
      <c r="F48" s="1" t="s">
        <v>386</v>
      </c>
    </row>
    <row r="49" spans="1:6" ht="17" x14ac:dyDescent="0.4">
      <c r="A49" s="1" t="str">
        <f>_xlfn.XLOOKUP(B49,表格1[ID],表格1[Dish])</f>
        <v>薯仔沙律蛋包</v>
      </c>
      <c r="B49" s="1" t="s">
        <v>202</v>
      </c>
      <c r="C49" s="1" t="s">
        <v>263</v>
      </c>
      <c r="D49" s="1" t="s">
        <v>223</v>
      </c>
      <c r="E49" s="23">
        <v>1</v>
      </c>
      <c r="F49" s="1" t="s">
        <v>386</v>
      </c>
    </row>
    <row r="50" spans="1:6" ht="17" x14ac:dyDescent="0.4">
      <c r="A50" s="1" t="str">
        <f>_xlfn.XLOOKUP(B50,表格1[ID],表格1[Dish])</f>
        <v>薯仔沙律蛋包</v>
      </c>
      <c r="B50" s="1" t="s">
        <v>202</v>
      </c>
      <c r="C50" s="1" t="s">
        <v>263</v>
      </c>
      <c r="D50" s="1" t="s">
        <v>308</v>
      </c>
      <c r="E50" s="23">
        <v>1</v>
      </c>
      <c r="F50" s="1" t="s">
        <v>377</v>
      </c>
    </row>
    <row r="51" spans="1:6" ht="17" x14ac:dyDescent="0.4">
      <c r="A51" s="1" t="str">
        <f>_xlfn.XLOOKUP(B51,表格1[ID],表格1[Dish])</f>
        <v>薯仔沙律蛋包</v>
      </c>
      <c r="B51" s="1" t="s">
        <v>202</v>
      </c>
      <c r="C51" s="1" t="s">
        <v>263</v>
      </c>
      <c r="D51" s="1" t="s">
        <v>319</v>
      </c>
      <c r="E51" s="23">
        <v>1</v>
      </c>
      <c r="F51" s="1" t="s">
        <v>377</v>
      </c>
    </row>
    <row r="52" spans="1:6" ht="17" x14ac:dyDescent="0.4">
      <c r="A52" s="1" t="str">
        <f>_xlfn.XLOOKUP(B52,表格1[ID],表格1[Dish])</f>
        <v>薯仔沙律蛋包</v>
      </c>
      <c r="B52" s="1" t="s">
        <v>202</v>
      </c>
      <c r="C52" s="1" t="s">
        <v>266</v>
      </c>
      <c r="D52" s="1" t="s">
        <v>236</v>
      </c>
      <c r="E52" s="23" t="s">
        <v>269</v>
      </c>
      <c r="F52" s="1" t="s">
        <v>235</v>
      </c>
    </row>
    <row r="53" spans="1:6" ht="17" x14ac:dyDescent="0.4">
      <c r="A53" s="1" t="str">
        <f>_xlfn.XLOOKUP(B53,表格1[ID],表格1[Dish])</f>
        <v>薯仔沙律蛋包</v>
      </c>
      <c r="B53" s="1" t="s">
        <v>202</v>
      </c>
      <c r="C53" s="1" t="s">
        <v>387</v>
      </c>
      <c r="D53" s="1" t="s">
        <v>321</v>
      </c>
      <c r="E53" s="23">
        <v>2</v>
      </c>
      <c r="F53" s="1" t="s">
        <v>377</v>
      </c>
    </row>
    <row r="54" spans="1:6" ht="17" x14ac:dyDescent="0.4">
      <c r="A54" s="1" t="str">
        <f>_xlfn.XLOOKUP(B54,表格1[ID],表格1[Dish])</f>
        <v>薯仔沙律蛋包</v>
      </c>
      <c r="B54" s="1" t="s">
        <v>202</v>
      </c>
      <c r="C54" s="1" t="s">
        <v>387</v>
      </c>
      <c r="D54" s="1" t="s">
        <v>323</v>
      </c>
      <c r="E54" s="23">
        <v>0.5</v>
      </c>
      <c r="F54" s="1" t="s">
        <v>380</v>
      </c>
    </row>
    <row r="55" spans="1:6" ht="17" x14ac:dyDescent="0.4">
      <c r="A55" s="1" t="str">
        <f>_xlfn.XLOOKUP(B55,表格1[ID],表格1[Dish])</f>
        <v>薯仔沙律蛋包</v>
      </c>
      <c r="B55" s="1" t="s">
        <v>202</v>
      </c>
      <c r="C55" s="1" t="s">
        <v>387</v>
      </c>
      <c r="D55" s="1" t="s">
        <v>325</v>
      </c>
      <c r="E55" s="23">
        <v>1</v>
      </c>
      <c r="F55" s="1" t="s">
        <v>380</v>
      </c>
    </row>
    <row r="56" spans="1:6" x14ac:dyDescent="0.4">
      <c r="A56" s="1" t="str">
        <f>_xlfn.XLOOKUP(B56,表格1[ID],表格1[Dish])</f>
        <v>麻婆豆腐</v>
      </c>
      <c r="B56" s="1" t="s">
        <v>130</v>
      </c>
      <c r="C56" s="1" t="s">
        <v>328</v>
      </c>
      <c r="D56" s="1" t="s">
        <v>330</v>
      </c>
      <c r="E56" s="23">
        <v>100</v>
      </c>
      <c r="F56" s="1" t="s">
        <v>348</v>
      </c>
    </row>
    <row r="57" spans="1:6" ht="17" x14ac:dyDescent="0.4">
      <c r="A57" s="1" t="str">
        <f>_xlfn.XLOOKUP(B57,表格1[ID],表格1[Dish])</f>
        <v>麻婆豆腐</v>
      </c>
      <c r="B57" s="1" t="s">
        <v>130</v>
      </c>
      <c r="C57" s="1" t="s">
        <v>328</v>
      </c>
      <c r="D57" s="1" t="s">
        <v>331</v>
      </c>
      <c r="E57" s="23">
        <v>1</v>
      </c>
      <c r="F57" s="1" t="s">
        <v>388</v>
      </c>
    </row>
    <row r="58" spans="1:6" x14ac:dyDescent="0.4">
      <c r="A58" s="1" t="str">
        <f>_xlfn.XLOOKUP(B58,表格1[ID],表格1[Dish])</f>
        <v>麻婆豆腐</v>
      </c>
      <c r="B58" s="1" t="s">
        <v>130</v>
      </c>
      <c r="C58" s="1" t="s">
        <v>328</v>
      </c>
      <c r="D58" s="1" t="s">
        <v>332</v>
      </c>
      <c r="E58" s="23">
        <v>20</v>
      </c>
      <c r="F58" s="1" t="s">
        <v>348</v>
      </c>
    </row>
    <row r="59" spans="1:6" ht="17" x14ac:dyDescent="0.4">
      <c r="A59" s="1" t="str">
        <f>_xlfn.XLOOKUP(B59,表格1[ID],表格1[Dish])</f>
        <v>麻婆豆腐</v>
      </c>
      <c r="B59" s="1" t="s">
        <v>130</v>
      </c>
      <c r="C59" s="1" t="s">
        <v>389</v>
      </c>
      <c r="D59" s="1" t="s">
        <v>346</v>
      </c>
      <c r="E59" s="23">
        <v>1</v>
      </c>
      <c r="F59" s="1" t="s">
        <v>390</v>
      </c>
    </row>
    <row r="60" spans="1:6" ht="17" x14ac:dyDescent="0.4">
      <c r="A60" s="1" t="str">
        <f>_xlfn.XLOOKUP(B60,表格1[ID],表格1[Dish])</f>
        <v>麻婆豆腐</v>
      </c>
      <c r="B60" s="1" t="s">
        <v>130</v>
      </c>
      <c r="C60" s="1" t="s">
        <v>328</v>
      </c>
      <c r="D60" s="1" t="s">
        <v>333</v>
      </c>
      <c r="E60" s="23">
        <v>1</v>
      </c>
      <c r="F60" s="1" t="s">
        <v>390</v>
      </c>
    </row>
    <row r="61" spans="1:6" ht="17" x14ac:dyDescent="0.4">
      <c r="A61" s="1" t="str">
        <f>_xlfn.XLOOKUP(B61,表格1[ID],表格1[Dish])</f>
        <v>麻婆豆腐</v>
      </c>
      <c r="B61" s="1" t="s">
        <v>130</v>
      </c>
      <c r="C61" s="1" t="s">
        <v>328</v>
      </c>
      <c r="D61" s="1" t="s">
        <v>334</v>
      </c>
      <c r="E61" s="23">
        <v>1</v>
      </c>
      <c r="F61" s="1" t="s">
        <v>390</v>
      </c>
    </row>
    <row r="62" spans="1:6" ht="17" x14ac:dyDescent="0.4">
      <c r="A62" s="1" t="str">
        <f>_xlfn.XLOOKUP(B62,表格1[ID],表格1[Dish])</f>
        <v>麻婆豆腐</v>
      </c>
      <c r="B62" s="1" t="s">
        <v>130</v>
      </c>
      <c r="C62" s="1" t="s">
        <v>329</v>
      </c>
      <c r="D62" s="1" t="s">
        <v>336</v>
      </c>
      <c r="E62" s="23">
        <v>1</v>
      </c>
      <c r="F62" s="1" t="s">
        <v>390</v>
      </c>
    </row>
    <row r="63" spans="1:6" ht="17" x14ac:dyDescent="0.4">
      <c r="A63" s="1" t="str">
        <f>_xlfn.XLOOKUP(B63,表格1[ID],表格1[Dish])</f>
        <v>麻婆豆腐</v>
      </c>
      <c r="B63" s="1" t="s">
        <v>130</v>
      </c>
      <c r="C63" s="1" t="s">
        <v>329</v>
      </c>
      <c r="D63" s="1" t="s">
        <v>337</v>
      </c>
      <c r="E63" s="23">
        <v>1</v>
      </c>
      <c r="F63" s="1" t="s">
        <v>390</v>
      </c>
    </row>
    <row r="64" spans="1:6" ht="17" x14ac:dyDescent="0.4">
      <c r="A64" s="1" t="str">
        <f>_xlfn.XLOOKUP(B64,表格1[ID],表格1[Dish])</f>
        <v>麻婆豆腐</v>
      </c>
      <c r="B64" s="1" t="s">
        <v>130</v>
      </c>
      <c r="C64" s="1" t="s">
        <v>329</v>
      </c>
      <c r="D64" s="1" t="s">
        <v>338</v>
      </c>
      <c r="E64" s="23">
        <v>2</v>
      </c>
      <c r="F64" s="1" t="s">
        <v>377</v>
      </c>
    </row>
    <row r="65" spans="1:6" ht="17" x14ac:dyDescent="0.4">
      <c r="A65" s="1" t="str">
        <f>_xlfn.XLOOKUP(B65,表格1[ID],表格1[Dish])</f>
        <v>麻婆豆腐</v>
      </c>
      <c r="B65" s="1" t="s">
        <v>130</v>
      </c>
      <c r="C65" s="1" t="s">
        <v>328</v>
      </c>
      <c r="D65" s="1" t="s">
        <v>294</v>
      </c>
      <c r="E65" s="23">
        <v>1</v>
      </c>
      <c r="F65" s="1" t="s">
        <v>391</v>
      </c>
    </row>
    <row r="66" spans="1:6" ht="17" x14ac:dyDescent="0.4">
      <c r="A66" s="1" t="str">
        <f>_xlfn.XLOOKUP(B66,表格1[ID],表格1[Dish])</f>
        <v>麻婆豆腐</v>
      </c>
      <c r="B66" s="1" t="s">
        <v>130</v>
      </c>
      <c r="C66" s="1" t="s">
        <v>329</v>
      </c>
      <c r="D66" s="1" t="s">
        <v>339</v>
      </c>
      <c r="E66" s="23">
        <v>1</v>
      </c>
      <c r="F66" s="1" t="s">
        <v>390</v>
      </c>
    </row>
    <row r="67" spans="1:6" ht="17" x14ac:dyDescent="0.4">
      <c r="A67" s="1" t="str">
        <f>_xlfn.XLOOKUP(B67,表格1[ID],表格1[Dish])</f>
        <v>麻婆豆腐</v>
      </c>
      <c r="B67" s="1" t="s">
        <v>130</v>
      </c>
      <c r="C67" s="1" t="s">
        <v>329</v>
      </c>
      <c r="D67" s="1" t="s">
        <v>240</v>
      </c>
      <c r="E67" s="23" t="s">
        <v>392</v>
      </c>
      <c r="F67" s="1" t="s">
        <v>351</v>
      </c>
    </row>
    <row r="68" spans="1:6" ht="17" x14ac:dyDescent="0.4">
      <c r="A68" s="1" t="str">
        <f>_xlfn.XLOOKUP(B68,表格1[ID],表格1[Dish])</f>
        <v>麻婆豆腐</v>
      </c>
      <c r="B68" s="1" t="s">
        <v>130</v>
      </c>
      <c r="C68" s="1" t="s">
        <v>329</v>
      </c>
      <c r="D68" s="1" t="s">
        <v>340</v>
      </c>
      <c r="E68" s="23">
        <v>0.5</v>
      </c>
      <c r="F68" s="1" t="s">
        <v>390</v>
      </c>
    </row>
    <row r="69" spans="1:6" ht="17" x14ac:dyDescent="0.4">
      <c r="A69" s="1" t="str">
        <f>_xlfn.XLOOKUP(B69,表格1[ID],表格1[Dish])</f>
        <v>麻婆豆腐</v>
      </c>
      <c r="B69" s="1" t="s">
        <v>130</v>
      </c>
      <c r="C69" s="1" t="s">
        <v>328</v>
      </c>
      <c r="D69" s="1" t="s">
        <v>341</v>
      </c>
      <c r="E69" s="23">
        <v>1</v>
      </c>
      <c r="F69" s="1" t="s">
        <v>377</v>
      </c>
    </row>
    <row r="70" spans="1:6" ht="17" x14ac:dyDescent="0.4">
      <c r="A70" s="1" t="str">
        <f>_xlfn.XLOOKUP(B70,表格1[ID],表格1[Dish])</f>
        <v>蒜蓉蒸茄子</v>
      </c>
      <c r="B70" s="1" t="s">
        <v>131</v>
      </c>
      <c r="C70" s="1" t="s">
        <v>328</v>
      </c>
      <c r="D70" s="1" t="s">
        <v>345</v>
      </c>
      <c r="E70" s="23">
        <v>1</v>
      </c>
      <c r="F70" s="1" t="s">
        <v>384</v>
      </c>
    </row>
    <row r="71" spans="1:6" ht="17" x14ac:dyDescent="0.4">
      <c r="A71" s="1" t="str">
        <f>_xlfn.XLOOKUP(B71,表格1[ID],表格1[Dish])</f>
        <v>蒜蓉蒸茄子</v>
      </c>
      <c r="B71" s="1" t="s">
        <v>131</v>
      </c>
      <c r="C71" s="1" t="s">
        <v>328</v>
      </c>
      <c r="D71" s="1" t="s">
        <v>334</v>
      </c>
      <c r="E71" s="23">
        <v>0.5</v>
      </c>
      <c r="F71" s="1" t="s">
        <v>383</v>
      </c>
    </row>
    <row r="72" spans="1:6" ht="17" x14ac:dyDescent="0.4">
      <c r="A72" s="1" t="str">
        <f>_xlfn.XLOOKUP(B72,表格1[ID],表格1[Dish])</f>
        <v>蒜蓉蒸茄子</v>
      </c>
      <c r="B72" s="1" t="s">
        <v>131</v>
      </c>
      <c r="C72" s="1" t="s">
        <v>352</v>
      </c>
      <c r="D72" s="1" t="s">
        <v>346</v>
      </c>
      <c r="E72" s="23">
        <v>1</v>
      </c>
      <c r="F72" s="1" t="s">
        <v>384</v>
      </c>
    </row>
    <row r="73" spans="1:6" ht="17" x14ac:dyDescent="0.4">
      <c r="A73" s="1" t="str">
        <f>_xlfn.XLOOKUP(B73,表格1[ID],表格1[Dish])</f>
        <v>蒜蓉蒸茄子</v>
      </c>
      <c r="B73" s="1" t="s">
        <v>131</v>
      </c>
      <c r="C73" s="1" t="s">
        <v>329</v>
      </c>
      <c r="D73" s="1" t="s">
        <v>238</v>
      </c>
      <c r="E73" s="23">
        <v>0.5</v>
      </c>
      <c r="F73" s="2" t="s">
        <v>244</v>
      </c>
    </row>
    <row r="74" spans="1:6" ht="17" x14ac:dyDescent="0.4">
      <c r="A74" s="1" t="str">
        <f>_xlfn.XLOOKUP(B74,表格1[ID],表格1[Dish])</f>
        <v>蒜蓉蒸茄子</v>
      </c>
      <c r="B74" s="1" t="s">
        <v>131</v>
      </c>
      <c r="C74" s="1" t="s">
        <v>329</v>
      </c>
      <c r="D74" s="1" t="s">
        <v>240</v>
      </c>
      <c r="E74" s="23">
        <v>1</v>
      </c>
      <c r="F74" s="2" t="s">
        <v>244</v>
      </c>
    </row>
    <row r="75" spans="1:6" ht="17" x14ac:dyDescent="0.4">
      <c r="A75" s="1" t="str">
        <f>_xlfn.XLOOKUP(B75,表格1[ID],表格1[Dish])</f>
        <v>蒜蓉蒸茄子</v>
      </c>
      <c r="B75" s="1" t="s">
        <v>131</v>
      </c>
      <c r="C75" s="1" t="s">
        <v>329</v>
      </c>
      <c r="D75" s="1" t="s">
        <v>343</v>
      </c>
      <c r="E75" s="23">
        <v>0.5</v>
      </c>
      <c r="F75" s="2" t="s">
        <v>244</v>
      </c>
    </row>
    <row r="76" spans="1:6" ht="17" x14ac:dyDescent="0.4">
      <c r="A76" s="1" t="str">
        <f>_xlfn.XLOOKUP(B76,表格1[ID],表格1[Dish])</f>
        <v>蒜蓉蒸茄子</v>
      </c>
      <c r="B76" s="1" t="s">
        <v>131</v>
      </c>
      <c r="C76" s="1" t="s">
        <v>329</v>
      </c>
      <c r="D76" s="1" t="s">
        <v>430</v>
      </c>
      <c r="E76" s="23" t="s">
        <v>392</v>
      </c>
      <c r="F76" s="1" t="s">
        <v>351</v>
      </c>
    </row>
    <row r="77" spans="1:6" ht="17" x14ac:dyDescent="0.4">
      <c r="A77" s="1" t="str">
        <f>_xlfn.XLOOKUP(B77,表格1[ID],表格1[Dish])</f>
        <v>金銀蛋菠菜</v>
      </c>
      <c r="B77" s="1" t="s">
        <v>132</v>
      </c>
      <c r="C77" s="1" t="s">
        <v>328</v>
      </c>
      <c r="D77" s="1" t="s">
        <v>397</v>
      </c>
      <c r="E77" s="23">
        <v>2</v>
      </c>
      <c r="F77" s="2" t="s">
        <v>224</v>
      </c>
    </row>
    <row r="78" spans="1:6" ht="17" x14ac:dyDescent="0.4">
      <c r="A78" s="1" t="str">
        <f>_xlfn.XLOOKUP(B78,表格1[ID],表格1[Dish])</f>
        <v>金銀蛋菠菜</v>
      </c>
      <c r="B78" s="1" t="s">
        <v>132</v>
      </c>
      <c r="C78" s="1" t="s">
        <v>328</v>
      </c>
      <c r="D78" s="1" t="s">
        <v>399</v>
      </c>
      <c r="E78" s="23">
        <v>2</v>
      </c>
      <c r="F78" s="2" t="s">
        <v>224</v>
      </c>
    </row>
    <row r="79" spans="1:6" x14ac:dyDescent="0.4">
      <c r="A79" s="1" t="str">
        <f>_xlfn.XLOOKUP(B79,表格1[ID],表格1[Dish])</f>
        <v>金銀蛋菠菜</v>
      </c>
      <c r="B79" s="1" t="s">
        <v>132</v>
      </c>
      <c r="C79" s="1" t="s">
        <v>328</v>
      </c>
      <c r="D79" s="1" t="s">
        <v>294</v>
      </c>
      <c r="E79" s="23">
        <v>500</v>
      </c>
      <c r="F79" s="1" t="s">
        <v>243</v>
      </c>
    </row>
    <row r="80" spans="1:6" ht="17" x14ac:dyDescent="0.4">
      <c r="A80" s="1" t="str">
        <f>_xlfn.XLOOKUP(B80,表格1[ID],表格1[Dish])</f>
        <v>金銀蛋菠菜</v>
      </c>
      <c r="B80" s="1" t="s">
        <v>132</v>
      </c>
      <c r="C80" s="1" t="s">
        <v>328</v>
      </c>
      <c r="D80" s="1" t="s">
        <v>401</v>
      </c>
      <c r="E80" s="23">
        <v>1</v>
      </c>
      <c r="F80" s="2" t="s">
        <v>405</v>
      </c>
    </row>
    <row r="81" spans="1:6" ht="17" x14ac:dyDescent="0.4">
      <c r="A81" s="1" t="str">
        <f>_xlfn.XLOOKUP(B81,表格1[ID],表格1[Dish])</f>
        <v>金銀蛋菠菜</v>
      </c>
      <c r="B81" s="1" t="s">
        <v>132</v>
      </c>
      <c r="C81" s="1" t="s">
        <v>328</v>
      </c>
      <c r="D81" s="1" t="s">
        <v>403</v>
      </c>
      <c r="E81" s="23">
        <v>4</v>
      </c>
      <c r="F81" s="2" t="s">
        <v>406</v>
      </c>
    </row>
    <row r="82" spans="1:6" ht="17" x14ac:dyDescent="0.4">
      <c r="A82" s="1" t="str">
        <f>_xlfn.XLOOKUP(B82,表格1[ID],表格1[Dish])</f>
        <v>薑葱焗桶蠔</v>
      </c>
      <c r="B82" s="1" t="s">
        <v>134</v>
      </c>
      <c r="C82" s="1" t="s">
        <v>328</v>
      </c>
      <c r="D82" s="1" t="s">
        <v>409</v>
      </c>
      <c r="E82" s="23">
        <v>1</v>
      </c>
      <c r="F82" s="2" t="s">
        <v>417</v>
      </c>
    </row>
    <row r="83" spans="1:6" ht="17" x14ac:dyDescent="0.4">
      <c r="A83" s="1" t="str">
        <f>_xlfn.XLOOKUP(B83,表格1[ID],表格1[Dish])</f>
        <v>薑葱焗桶蠔</v>
      </c>
      <c r="B83" s="1" t="s">
        <v>134</v>
      </c>
      <c r="C83" s="1" t="s">
        <v>328</v>
      </c>
      <c r="D83" s="1" t="s">
        <v>346</v>
      </c>
      <c r="E83" s="23">
        <v>4</v>
      </c>
      <c r="F83" s="2" t="s">
        <v>316</v>
      </c>
    </row>
    <row r="84" spans="1:6" ht="17" x14ac:dyDescent="0.4">
      <c r="A84" s="1" t="str">
        <f>_xlfn.XLOOKUP(B84,表格1[ID],表格1[Dish])</f>
        <v>薑葱焗桶蠔</v>
      </c>
      <c r="B84" s="1" t="s">
        <v>134</v>
      </c>
      <c r="C84" s="1" t="s">
        <v>328</v>
      </c>
      <c r="D84" s="1" t="s">
        <v>411</v>
      </c>
      <c r="E84" s="23">
        <v>8</v>
      </c>
      <c r="F84" s="2" t="s">
        <v>418</v>
      </c>
    </row>
    <row r="85" spans="1:6" ht="17" x14ac:dyDescent="0.4">
      <c r="A85" s="1" t="str">
        <f>_xlfn.XLOOKUP(B85,表格1[ID],表格1[Dish])</f>
        <v>薑葱焗桶蠔</v>
      </c>
      <c r="B85" s="1" t="s">
        <v>134</v>
      </c>
      <c r="C85" s="1" t="s">
        <v>328</v>
      </c>
      <c r="D85" s="1" t="s">
        <v>403</v>
      </c>
      <c r="E85" s="23">
        <v>4</v>
      </c>
      <c r="F85" s="2" t="s">
        <v>406</v>
      </c>
    </row>
    <row r="86" spans="1:6" ht="17" x14ac:dyDescent="0.4">
      <c r="A86" s="1" t="str">
        <f>_xlfn.XLOOKUP(B86,表格1[ID],表格1[Dish])</f>
        <v>薑葱焗桶蠔</v>
      </c>
      <c r="B86" s="1" t="s">
        <v>134</v>
      </c>
      <c r="C86" s="1" t="s">
        <v>329</v>
      </c>
      <c r="D86" s="1" t="s">
        <v>413</v>
      </c>
      <c r="E86" s="23">
        <v>1</v>
      </c>
      <c r="F86" s="2" t="s">
        <v>283</v>
      </c>
    </row>
    <row r="87" spans="1:6" ht="17" x14ac:dyDescent="0.4">
      <c r="A87" s="1" t="str">
        <f>_xlfn.XLOOKUP(B87,表格1[ID],表格1[Dish])</f>
        <v>薑葱焗桶蠔</v>
      </c>
      <c r="B87" s="1" t="s">
        <v>134</v>
      </c>
      <c r="C87" s="1" t="s">
        <v>329</v>
      </c>
      <c r="D87" s="1" t="s">
        <v>430</v>
      </c>
      <c r="E87" s="23">
        <v>0.5</v>
      </c>
      <c r="F87" s="2" t="s">
        <v>283</v>
      </c>
    </row>
    <row r="88" spans="1:6" ht="17" x14ac:dyDescent="0.4">
      <c r="A88" s="1" t="str">
        <f>_xlfn.XLOOKUP(B88,表格1[ID],表格1[Dish])</f>
        <v>薑葱焗桶蠔</v>
      </c>
      <c r="B88" s="1" t="s">
        <v>134</v>
      </c>
      <c r="C88" s="1" t="s">
        <v>329</v>
      </c>
      <c r="D88" s="1" t="s">
        <v>238</v>
      </c>
      <c r="E88" s="23">
        <v>0.5</v>
      </c>
      <c r="F88" s="2" t="s">
        <v>244</v>
      </c>
    </row>
    <row r="89" spans="1:6" ht="17" x14ac:dyDescent="0.4">
      <c r="A89" s="1" t="str">
        <f>_xlfn.XLOOKUP(B89,表格1[ID],表格1[Dish])</f>
        <v>薑葱焗桶蠔</v>
      </c>
      <c r="B89" s="1" t="s">
        <v>134</v>
      </c>
      <c r="C89" s="1" t="s">
        <v>329</v>
      </c>
      <c r="D89" s="1" t="s">
        <v>240</v>
      </c>
      <c r="E89" s="23">
        <v>5</v>
      </c>
      <c r="F89" s="2" t="s">
        <v>283</v>
      </c>
    </row>
    <row r="90" spans="1:6" ht="17" x14ac:dyDescent="0.4">
      <c r="A90" s="1" t="str">
        <f>_xlfn.XLOOKUP(B90,表格1[ID],表格1[Dish])</f>
        <v>薑葱焗桶蠔</v>
      </c>
      <c r="B90" s="1" t="s">
        <v>134</v>
      </c>
      <c r="C90" s="1" t="s">
        <v>329</v>
      </c>
      <c r="D90" s="1" t="s">
        <v>236</v>
      </c>
      <c r="E90" s="23" t="s">
        <v>392</v>
      </c>
      <c r="F90" s="1" t="s">
        <v>351</v>
      </c>
    </row>
    <row r="91" spans="1:6" x14ac:dyDescent="0.4">
      <c r="A91" s="1" t="str">
        <f>_xlfn.XLOOKUP(B91,表格1[ID],表格1[Dish])</f>
        <v>薑葱焗桶蠔</v>
      </c>
      <c r="B91" s="1" t="s">
        <v>134</v>
      </c>
      <c r="C91" s="1" t="s">
        <v>329</v>
      </c>
      <c r="D91" s="1" t="s">
        <v>415</v>
      </c>
      <c r="E91" s="23">
        <v>1</v>
      </c>
      <c r="F91" s="1" t="s">
        <v>283</v>
      </c>
    </row>
    <row r="92" spans="1:6" ht="17" x14ac:dyDescent="0.4">
      <c r="A92" s="1" t="str">
        <f>_xlfn.XLOOKUP(B92,表格1[ID],表格1[Dish])</f>
        <v>薑葱焗桶蠔</v>
      </c>
      <c r="B92" s="1" t="s">
        <v>134</v>
      </c>
      <c r="C92" s="1" t="s">
        <v>329</v>
      </c>
      <c r="D92" s="1" t="s">
        <v>340</v>
      </c>
      <c r="E92" s="23">
        <v>2</v>
      </c>
      <c r="F92" s="2" t="s">
        <v>451</v>
      </c>
    </row>
    <row r="93" spans="1:6" x14ac:dyDescent="0.4">
      <c r="A93" s="1" t="str">
        <f>_xlfn.XLOOKUP(B93,表格1[ID],表格1[Dish])</f>
        <v>土匪雞翼</v>
      </c>
      <c r="B93" s="1" t="s">
        <v>135</v>
      </c>
      <c r="C93" s="1" t="s">
        <v>328</v>
      </c>
      <c r="D93" s="1" t="s">
        <v>420</v>
      </c>
      <c r="E93" s="23">
        <v>0.5</v>
      </c>
      <c r="F93" s="1" t="s">
        <v>432</v>
      </c>
    </row>
    <row r="94" spans="1:6" ht="17" x14ac:dyDescent="0.4">
      <c r="A94" s="1" t="str">
        <f>_xlfn.XLOOKUP(B94,表格1[ID],表格1[Dish])</f>
        <v>土匪雞翼</v>
      </c>
      <c r="B94" s="1" t="s">
        <v>135</v>
      </c>
      <c r="C94" s="1" t="s">
        <v>352</v>
      </c>
      <c r="D94" s="1" t="s">
        <v>422</v>
      </c>
      <c r="E94" s="23" t="s">
        <v>392</v>
      </c>
      <c r="F94" s="1" t="s">
        <v>351</v>
      </c>
    </row>
    <row r="95" spans="1:6" x14ac:dyDescent="0.4">
      <c r="A95" s="1" t="str">
        <f>_xlfn.XLOOKUP(B95,表格1[ID],表格1[Dish])</f>
        <v>土匪雞翼</v>
      </c>
      <c r="B95" s="1" t="s">
        <v>135</v>
      </c>
      <c r="C95" s="1" t="s">
        <v>329</v>
      </c>
      <c r="D95" s="1" t="s">
        <v>430</v>
      </c>
      <c r="E95" s="23">
        <v>3</v>
      </c>
      <c r="F95" s="1" t="s">
        <v>349</v>
      </c>
    </row>
    <row r="96" spans="1:6" x14ac:dyDescent="0.4">
      <c r="A96" s="1" t="str">
        <f>_xlfn.XLOOKUP(B96,表格1[ID],表格1[Dish])</f>
        <v>土匪雞翼</v>
      </c>
      <c r="B96" s="1" t="s">
        <v>135</v>
      </c>
      <c r="C96" s="1" t="s">
        <v>329</v>
      </c>
      <c r="D96" s="1" t="s">
        <v>343</v>
      </c>
      <c r="E96" s="23">
        <v>1</v>
      </c>
      <c r="F96" s="1" t="s">
        <v>349</v>
      </c>
    </row>
    <row r="97" spans="1:6" x14ac:dyDescent="0.4">
      <c r="A97" s="1" t="str">
        <f>_xlfn.XLOOKUP(B97,表格1[ID],表格1[Dish])</f>
        <v>土匪雞翼</v>
      </c>
      <c r="B97" s="1" t="s">
        <v>135</v>
      </c>
      <c r="C97" s="1" t="s">
        <v>329</v>
      </c>
      <c r="D97" s="1" t="s">
        <v>424</v>
      </c>
      <c r="E97" s="23">
        <v>1</v>
      </c>
      <c r="F97" s="1" t="s">
        <v>349</v>
      </c>
    </row>
    <row r="98" spans="1:6" x14ac:dyDescent="0.4">
      <c r="A98" s="1" t="str">
        <f>_xlfn.XLOOKUP(B98,表格1[ID],表格1[Dish])</f>
        <v>土匪雞翼</v>
      </c>
      <c r="B98" s="1" t="s">
        <v>135</v>
      </c>
      <c r="C98" s="1" t="s">
        <v>329</v>
      </c>
      <c r="D98" s="1" t="s">
        <v>238</v>
      </c>
      <c r="E98" s="23">
        <v>1</v>
      </c>
      <c r="F98" s="1" t="s">
        <v>349</v>
      </c>
    </row>
    <row r="99" spans="1:6" x14ac:dyDescent="0.4">
      <c r="A99" s="1" t="str">
        <f>_xlfn.XLOOKUP(B99,表格1[ID],表格1[Dish])</f>
        <v>土匪雞翼</v>
      </c>
      <c r="B99" s="1" t="s">
        <v>135</v>
      </c>
      <c r="C99" s="1" t="s">
        <v>329</v>
      </c>
      <c r="D99" s="1" t="s">
        <v>426</v>
      </c>
      <c r="E99" s="23">
        <v>2</v>
      </c>
      <c r="F99" s="1" t="s">
        <v>349</v>
      </c>
    </row>
    <row r="100" spans="1:6" x14ac:dyDescent="0.4">
      <c r="A100" s="1" t="str">
        <f>_xlfn.XLOOKUP(B100,表格1[ID],表格1[Dish])</f>
        <v>土匪雞翼</v>
      </c>
      <c r="B100" s="1" t="s">
        <v>135</v>
      </c>
      <c r="C100" s="1" t="s">
        <v>329</v>
      </c>
      <c r="D100" s="1" t="s">
        <v>337</v>
      </c>
      <c r="E100" s="23">
        <v>1</v>
      </c>
      <c r="F100" s="1" t="s">
        <v>349</v>
      </c>
    </row>
    <row r="101" spans="1:6" ht="17" x14ac:dyDescent="0.4">
      <c r="A101" s="1" t="str">
        <f>_xlfn.XLOOKUP(B101,表格1[ID],表格1[Dish])</f>
        <v>土匪雞翼</v>
      </c>
      <c r="B101" s="1" t="s">
        <v>135</v>
      </c>
      <c r="C101" s="1" t="s">
        <v>329</v>
      </c>
      <c r="D101" s="1" t="s">
        <v>428</v>
      </c>
      <c r="E101" s="23">
        <v>2</v>
      </c>
      <c r="F101" s="2" t="s">
        <v>244</v>
      </c>
    </row>
    <row r="102" spans="1:6" ht="17" x14ac:dyDescent="0.4">
      <c r="A102" s="1" t="str">
        <f>_xlfn.XLOOKUP(B102,表格1[ID],表格1[Dish])</f>
        <v>涼伴雲耳</v>
      </c>
      <c r="B102" s="1" t="s">
        <v>136</v>
      </c>
      <c r="C102" s="1" t="s">
        <v>328</v>
      </c>
      <c r="D102" s="1" t="s">
        <v>445</v>
      </c>
      <c r="E102" s="24">
        <v>1</v>
      </c>
      <c r="F102" t="s">
        <v>452</v>
      </c>
    </row>
    <row r="103" spans="1:6" ht="17" x14ac:dyDescent="0.4">
      <c r="A103" s="1" t="str">
        <f>_xlfn.XLOOKUP(B103,表格1[ID],表格1[Dish])</f>
        <v>涼伴雲耳</v>
      </c>
      <c r="B103" s="1" t="s">
        <v>136</v>
      </c>
      <c r="C103" s="1" t="s">
        <v>329</v>
      </c>
      <c r="D103" s="1" t="s">
        <v>430</v>
      </c>
      <c r="E103" s="24">
        <v>1</v>
      </c>
      <c r="F103" t="s">
        <v>353</v>
      </c>
    </row>
    <row r="104" spans="1:6" ht="17" x14ac:dyDescent="0.4">
      <c r="A104" s="1" t="str">
        <f>_xlfn.XLOOKUP(B104,表格1[ID],表格1[Dish])</f>
        <v>涼伴雲耳</v>
      </c>
      <c r="B104" s="1" t="s">
        <v>136</v>
      </c>
      <c r="C104" s="1" t="s">
        <v>329</v>
      </c>
      <c r="D104" s="1" t="s">
        <v>447</v>
      </c>
      <c r="E104" s="24">
        <v>1</v>
      </c>
      <c r="F104" t="s">
        <v>353</v>
      </c>
    </row>
    <row r="105" spans="1:6" ht="17" x14ac:dyDescent="0.4">
      <c r="A105" s="1" t="str">
        <f>_xlfn.XLOOKUP(B105,表格1[ID],表格1[Dish])</f>
        <v>涼伴雲耳</v>
      </c>
      <c r="B105" s="1" t="s">
        <v>136</v>
      </c>
      <c r="C105" s="1" t="s">
        <v>329</v>
      </c>
      <c r="D105" s="1" t="s">
        <v>338</v>
      </c>
      <c r="E105" s="24">
        <v>1</v>
      </c>
      <c r="F105" t="s">
        <v>353</v>
      </c>
    </row>
    <row r="106" spans="1:6" ht="17" x14ac:dyDescent="0.4">
      <c r="A106" s="1" t="str">
        <f>_xlfn.XLOOKUP(B106,表格1[ID],表格1[Dish])</f>
        <v>涼伴雲耳</v>
      </c>
      <c r="B106" s="1" t="s">
        <v>136</v>
      </c>
      <c r="C106" s="1" t="s">
        <v>329</v>
      </c>
      <c r="D106" s="1" t="s">
        <v>238</v>
      </c>
      <c r="E106" s="24">
        <v>1</v>
      </c>
      <c r="F106" t="s">
        <v>353</v>
      </c>
    </row>
    <row r="107" spans="1:6" ht="17" x14ac:dyDescent="0.4">
      <c r="A107" s="1" t="str">
        <f>_xlfn.XLOOKUP(B107,表格1[ID],表格1[Dish])</f>
        <v>涼伴雲耳</v>
      </c>
      <c r="B107" s="1" t="s">
        <v>136</v>
      </c>
      <c r="C107" s="1" t="s">
        <v>329</v>
      </c>
      <c r="D107" s="1" t="s">
        <v>334</v>
      </c>
      <c r="E107" s="24">
        <v>1</v>
      </c>
      <c r="F107" t="s">
        <v>353</v>
      </c>
    </row>
    <row r="108" spans="1:6" ht="17" x14ac:dyDescent="0.4">
      <c r="A108" s="1" t="str">
        <f>_xlfn.XLOOKUP(B108,表格1[ID],表格1[Dish])</f>
        <v>涼伴雲耳</v>
      </c>
      <c r="B108" s="1" t="s">
        <v>136</v>
      </c>
      <c r="C108" s="1" t="s">
        <v>329</v>
      </c>
      <c r="D108" s="1" t="s">
        <v>413</v>
      </c>
      <c r="E108" s="24">
        <v>1</v>
      </c>
      <c r="F108" t="s">
        <v>353</v>
      </c>
    </row>
    <row r="109" spans="1:6" ht="17" x14ac:dyDescent="0.4">
      <c r="A109" s="1" t="str">
        <f>_xlfn.XLOOKUP(B109,表格1[ID],表格1[Dish])</f>
        <v>涼伴雲耳</v>
      </c>
      <c r="B109" s="1" t="s">
        <v>136</v>
      </c>
      <c r="C109" s="1" t="s">
        <v>329</v>
      </c>
      <c r="D109" s="1" t="s">
        <v>340</v>
      </c>
      <c r="E109" s="24">
        <v>1</v>
      </c>
      <c r="F109" t="s">
        <v>353</v>
      </c>
    </row>
    <row r="110" spans="1:6" ht="17" x14ac:dyDescent="0.4">
      <c r="A110" s="1" t="str">
        <f>_xlfn.XLOOKUP(B110,表格1[ID],表格1[Dish])</f>
        <v>涼伴雲耳</v>
      </c>
      <c r="B110" s="1" t="s">
        <v>136</v>
      </c>
      <c r="C110" s="1" t="s">
        <v>329</v>
      </c>
      <c r="D110" s="1" t="s">
        <v>341</v>
      </c>
      <c r="E110" s="24" t="s">
        <v>350</v>
      </c>
      <c r="F110" t="s">
        <v>351</v>
      </c>
    </row>
    <row r="111" spans="1:6" ht="17" x14ac:dyDescent="0.4">
      <c r="A111" s="1" t="str">
        <f>_xlfn.XLOOKUP(B111,表格1[ID],表格1[Dish])</f>
        <v>醬燒豆腐</v>
      </c>
      <c r="B111" s="1" t="s">
        <v>682</v>
      </c>
      <c r="C111" s="1" t="s">
        <v>328</v>
      </c>
      <c r="D111" s="1" t="s">
        <v>684</v>
      </c>
      <c r="E111" s="23">
        <v>1</v>
      </c>
      <c r="F111" s="2" t="s">
        <v>686</v>
      </c>
    </row>
    <row r="112" spans="1:6" ht="17" x14ac:dyDescent="0.4">
      <c r="A112" s="1" t="str">
        <f>_xlfn.XLOOKUP(B112,表格1[ID],表格1[Dish])</f>
        <v>醬燒豆腐</v>
      </c>
      <c r="B112" s="1" t="s">
        <v>682</v>
      </c>
      <c r="C112" s="1" t="s">
        <v>329</v>
      </c>
      <c r="D112" s="1" t="s">
        <v>238</v>
      </c>
      <c r="E112" s="23">
        <v>1</v>
      </c>
      <c r="F112" s="2" t="s">
        <v>244</v>
      </c>
    </row>
    <row r="113" spans="1:6" ht="17" x14ac:dyDescent="0.4">
      <c r="A113" s="1" t="str">
        <f>_xlfn.XLOOKUP(B113,表格1[ID],表格1[Dish])</f>
        <v>醬燒豆腐</v>
      </c>
      <c r="B113" s="1" t="s">
        <v>682</v>
      </c>
      <c r="C113" s="1" t="s">
        <v>329</v>
      </c>
      <c r="D113" s="1" t="s">
        <v>430</v>
      </c>
      <c r="E113" s="23">
        <v>2</v>
      </c>
      <c r="F113" s="2" t="s">
        <v>244</v>
      </c>
    </row>
    <row r="114" spans="1:6" ht="17" x14ac:dyDescent="0.4">
      <c r="A114" s="1" t="str">
        <f>_xlfn.XLOOKUP(B114,表格1[ID],表格1[Dish])</f>
        <v>醬燒豆腐</v>
      </c>
      <c r="B114" s="1" t="s">
        <v>682</v>
      </c>
      <c r="C114" s="1" t="s">
        <v>329</v>
      </c>
      <c r="D114" s="1" t="s">
        <v>233</v>
      </c>
      <c r="E114" s="23">
        <v>1</v>
      </c>
      <c r="F114" s="2" t="s">
        <v>283</v>
      </c>
    </row>
    <row r="115" spans="1:6" ht="17" x14ac:dyDescent="0.4">
      <c r="A115" s="1" t="str">
        <f>_xlfn.XLOOKUP(B115,表格1[ID],表格1[Dish])</f>
        <v>蒜香蒸豬五花高麗菜</v>
      </c>
      <c r="B115" s="1" t="s">
        <v>715</v>
      </c>
      <c r="C115" s="1" t="s">
        <v>328</v>
      </c>
      <c r="D115" s="1" t="s">
        <v>841</v>
      </c>
      <c r="E115" s="23">
        <v>0.25</v>
      </c>
      <c r="F115" s="2" t="s">
        <v>842</v>
      </c>
    </row>
    <row r="116" spans="1:6" x14ac:dyDescent="0.4">
      <c r="A116" s="1" t="str">
        <f>_xlfn.XLOOKUP(B116,表格1[ID],表格1[Dish])</f>
        <v>蒜香蒸豬五花高麗菜</v>
      </c>
      <c r="B116" s="1" t="s">
        <v>715</v>
      </c>
      <c r="C116" s="1" t="s">
        <v>328</v>
      </c>
      <c r="D116" s="1" t="s">
        <v>843</v>
      </c>
      <c r="E116" s="23">
        <v>200</v>
      </c>
      <c r="F116" s="1" t="s">
        <v>271</v>
      </c>
    </row>
    <row r="117" spans="1:6" ht="17" x14ac:dyDescent="0.4">
      <c r="A117" s="1" t="str">
        <f>_xlfn.XLOOKUP(B117,表格1[ID],表格1[Dish])</f>
        <v>蒜香蒸豬五花高麗菜</v>
      </c>
      <c r="B117" s="1" t="s">
        <v>715</v>
      </c>
      <c r="C117" s="1" t="s">
        <v>328</v>
      </c>
      <c r="D117" s="1" t="s">
        <v>403</v>
      </c>
      <c r="E117" s="23">
        <v>2</v>
      </c>
      <c r="F117" s="2" t="s">
        <v>406</v>
      </c>
    </row>
    <row r="118" spans="1:6" ht="17" x14ac:dyDescent="0.4">
      <c r="A118" s="1" t="str">
        <f>_xlfn.XLOOKUP(B118,表格1[ID],表格1[Dish])</f>
        <v>蒜香蒸豬五花高麗菜</v>
      </c>
      <c r="B118" s="1" t="s">
        <v>715</v>
      </c>
      <c r="C118" s="1" t="s">
        <v>329</v>
      </c>
      <c r="D118" s="1" t="s">
        <v>430</v>
      </c>
      <c r="E118" s="23">
        <v>1</v>
      </c>
      <c r="F118" s="2" t="s">
        <v>283</v>
      </c>
    </row>
    <row r="119" spans="1:6" ht="17" x14ac:dyDescent="0.4">
      <c r="A119" s="1" t="str">
        <f>_xlfn.XLOOKUP(B119,表格1[ID],表格1[Dish])</f>
        <v>蒜香蒸豬五花高麗菜</v>
      </c>
      <c r="B119" s="1" t="s">
        <v>715</v>
      </c>
      <c r="C119" s="1" t="s">
        <v>329</v>
      </c>
      <c r="D119" s="1" t="s">
        <v>845</v>
      </c>
      <c r="E119" s="23">
        <v>1</v>
      </c>
      <c r="F119" s="2" t="s">
        <v>283</v>
      </c>
    </row>
    <row r="120" spans="1:6" ht="17" x14ac:dyDescent="0.4">
      <c r="A120" s="1" t="str">
        <f>_xlfn.XLOOKUP(B120,表格1[ID],表格1[Dish])</f>
        <v>蒜香蒸豬五花高麗菜</v>
      </c>
      <c r="B120" s="1" t="s">
        <v>715</v>
      </c>
      <c r="C120" s="1" t="s">
        <v>329</v>
      </c>
      <c r="D120" s="1" t="s">
        <v>847</v>
      </c>
      <c r="E120" s="23">
        <v>1</v>
      </c>
      <c r="F120" s="2" t="s">
        <v>244</v>
      </c>
    </row>
    <row r="121" spans="1:6" ht="17" x14ac:dyDescent="0.4">
      <c r="A121" s="1" t="str">
        <f>_xlfn.XLOOKUP(B121,表格1[ID],表格1[Dish])</f>
        <v>蒜香蒸豬五花高麗菜</v>
      </c>
      <c r="B121" s="1" t="s">
        <v>715</v>
      </c>
      <c r="C121" s="1" t="s">
        <v>329</v>
      </c>
      <c r="D121" s="1" t="s">
        <v>238</v>
      </c>
      <c r="E121" s="23">
        <v>2</v>
      </c>
      <c r="F121" s="2" t="s">
        <v>244</v>
      </c>
    </row>
    <row r="122" spans="1:6" ht="17" x14ac:dyDescent="0.4">
      <c r="A122" s="1" t="str">
        <f>_xlfn.XLOOKUP(B122,表格1[ID],表格1[Dish])</f>
        <v>蒜香蒸豬五花高麗菜</v>
      </c>
      <c r="B122" s="1" t="s">
        <v>715</v>
      </c>
      <c r="C122" s="1" t="s">
        <v>329</v>
      </c>
      <c r="D122" s="1" t="s">
        <v>415</v>
      </c>
      <c r="E122" s="25" t="s">
        <v>854</v>
      </c>
      <c r="F122" s="2" t="s">
        <v>855</v>
      </c>
    </row>
    <row r="123" spans="1:6" x14ac:dyDescent="0.4">
      <c r="A123" s="1" t="str">
        <f>_xlfn.XLOOKUP(B123,表格1[ID],表格1[Dish])</f>
        <v>豆腐肉捲</v>
      </c>
      <c r="B123" s="1" t="s">
        <v>718</v>
      </c>
      <c r="C123" s="1" t="s">
        <v>328</v>
      </c>
      <c r="D123" s="1" t="s">
        <v>859</v>
      </c>
      <c r="E123" s="23">
        <v>200</v>
      </c>
      <c r="F123" s="1" t="s">
        <v>271</v>
      </c>
    </row>
    <row r="124" spans="1:6" ht="17" x14ac:dyDescent="0.4">
      <c r="A124" s="1" t="str">
        <f>_xlfn.XLOOKUP(B124,表格1[ID],表格1[Dish])</f>
        <v>豆腐肉捲</v>
      </c>
      <c r="B124" s="1" t="s">
        <v>718</v>
      </c>
      <c r="C124" s="1" t="s">
        <v>328</v>
      </c>
      <c r="D124" s="1" t="s">
        <v>861</v>
      </c>
      <c r="E124" s="23">
        <v>2</v>
      </c>
      <c r="F124" s="2" t="s">
        <v>863</v>
      </c>
    </row>
    <row r="125" spans="1:6" ht="17" x14ac:dyDescent="0.4">
      <c r="A125" s="1" t="str">
        <f>_xlfn.XLOOKUP(B125,表格1[ID],表格1[Dish])</f>
        <v>豆腐肉捲</v>
      </c>
      <c r="B125" s="1" t="s">
        <v>718</v>
      </c>
      <c r="C125" s="1" t="s">
        <v>329</v>
      </c>
      <c r="D125" s="1" t="s">
        <v>430</v>
      </c>
      <c r="E125" s="23">
        <v>1.5</v>
      </c>
      <c r="F125" s="2" t="s">
        <v>283</v>
      </c>
    </row>
    <row r="126" spans="1:6" ht="17" x14ac:dyDescent="0.4">
      <c r="A126" s="1" t="str">
        <f>_xlfn.XLOOKUP(B126,表格1[ID],表格1[Dish])</f>
        <v>豆腐肉捲</v>
      </c>
      <c r="B126" s="1" t="s">
        <v>718</v>
      </c>
      <c r="C126" s="1" t="s">
        <v>329</v>
      </c>
      <c r="D126" s="1" t="s">
        <v>864</v>
      </c>
      <c r="E126" s="23">
        <v>1</v>
      </c>
      <c r="F126" s="2" t="s">
        <v>283</v>
      </c>
    </row>
    <row r="127" spans="1:6" ht="17" x14ac:dyDescent="0.4">
      <c r="A127" s="1" t="str">
        <f>_xlfn.XLOOKUP(B127,表格1[ID],表格1[Dish])</f>
        <v>豆腐肉捲</v>
      </c>
      <c r="B127" s="1" t="s">
        <v>718</v>
      </c>
      <c r="C127" s="1" t="s">
        <v>329</v>
      </c>
      <c r="D127" s="1" t="s">
        <v>238</v>
      </c>
      <c r="E127" s="23">
        <v>1</v>
      </c>
      <c r="F127" s="2" t="s">
        <v>244</v>
      </c>
    </row>
    <row r="128" spans="1:6" x14ac:dyDescent="0.4">
      <c r="A128" s="1" t="str">
        <f>_xlfn.XLOOKUP(B128,表格1[ID],表格1[Dish])</f>
        <v>豆腐肉捲</v>
      </c>
      <c r="B128" s="1" t="s">
        <v>718</v>
      </c>
      <c r="C128" s="1" t="s">
        <v>329</v>
      </c>
      <c r="D128" s="1" t="s">
        <v>233</v>
      </c>
      <c r="E128" s="23">
        <v>50</v>
      </c>
      <c r="F128" s="1" t="s">
        <v>243</v>
      </c>
    </row>
    <row r="129" spans="1:6" ht="17" x14ac:dyDescent="0.4">
      <c r="A129" s="1" t="str">
        <f>_xlfn.XLOOKUP(B129,表格1[ID],表格1[Dish])</f>
        <v>和風洋葱蛋花湯</v>
      </c>
      <c r="B129" s="1" t="s">
        <v>840</v>
      </c>
      <c r="C129" s="1" t="s">
        <v>328</v>
      </c>
      <c r="D129" s="1" t="s">
        <v>869</v>
      </c>
      <c r="E129" s="23">
        <v>0.5</v>
      </c>
      <c r="F129" s="2" t="s">
        <v>842</v>
      </c>
    </row>
    <row r="130" spans="1:6" ht="17" x14ac:dyDescent="0.4">
      <c r="A130" s="1" t="str">
        <f>_xlfn.XLOOKUP(B130,表格1[ID],表格1[Dish])</f>
        <v>和風洋葱蛋花湯</v>
      </c>
      <c r="B130" s="1" t="s">
        <v>840</v>
      </c>
      <c r="C130" s="1" t="s">
        <v>328</v>
      </c>
      <c r="D130" s="1" t="s">
        <v>1069</v>
      </c>
      <c r="E130" s="23">
        <v>1</v>
      </c>
      <c r="F130" s="2" t="s">
        <v>842</v>
      </c>
    </row>
    <row r="131" spans="1:6" x14ac:dyDescent="0.4">
      <c r="A131" s="1" t="str">
        <f>_xlfn.XLOOKUP(B131,表格1[ID],表格1[Dish])</f>
        <v>和風洋葱蛋花湯</v>
      </c>
      <c r="B131" s="1" t="s">
        <v>840</v>
      </c>
      <c r="C131" s="1" t="s">
        <v>328</v>
      </c>
      <c r="D131" s="1" t="s">
        <v>233</v>
      </c>
      <c r="E131" s="23">
        <v>600</v>
      </c>
      <c r="F131" s="1" t="s">
        <v>243</v>
      </c>
    </row>
    <row r="132" spans="1:6" ht="17" x14ac:dyDescent="0.4">
      <c r="A132" s="1" t="str">
        <f>_xlfn.XLOOKUP(B132,表格1[ID],表格1[Dish])</f>
        <v>和風洋葱蛋花湯</v>
      </c>
      <c r="B132" s="1" t="s">
        <v>840</v>
      </c>
      <c r="C132" s="1" t="s">
        <v>328</v>
      </c>
      <c r="D132" s="1" t="s">
        <v>223</v>
      </c>
      <c r="E132" s="23">
        <v>2</v>
      </c>
      <c r="F132" s="2" t="s">
        <v>224</v>
      </c>
    </row>
    <row r="133" spans="1:6" ht="17" x14ac:dyDescent="0.4">
      <c r="A133" s="1" t="str">
        <f>_xlfn.XLOOKUP(B133,表格1[ID],表格1[Dish])</f>
        <v>和風洋葱蛋花湯</v>
      </c>
      <c r="B133" s="1" t="s">
        <v>840</v>
      </c>
      <c r="C133" s="1" t="s">
        <v>329</v>
      </c>
      <c r="D133" s="1" t="s">
        <v>236</v>
      </c>
      <c r="E133" s="24" t="s">
        <v>350</v>
      </c>
      <c r="F133" t="s">
        <v>351</v>
      </c>
    </row>
    <row r="134" spans="1:6" ht="17" x14ac:dyDescent="0.4">
      <c r="A134" s="1" t="str">
        <f>_xlfn.XLOOKUP(B134,表格1[ID],表格1[Dish])</f>
        <v>和風洋葱蛋花湯</v>
      </c>
      <c r="B134" s="1" t="s">
        <v>840</v>
      </c>
      <c r="C134" s="1" t="s">
        <v>329</v>
      </c>
      <c r="D134" s="1" t="s">
        <v>337</v>
      </c>
      <c r="E134" s="24" t="s">
        <v>350</v>
      </c>
      <c r="F134" t="s">
        <v>351</v>
      </c>
    </row>
    <row r="135" spans="1:6" ht="17" x14ac:dyDescent="0.4">
      <c r="A135" s="1" t="str">
        <f>_xlfn.XLOOKUP(B135,表格1[ID],表格1[Dish])</f>
        <v>梅汁涼拌秋葵</v>
      </c>
      <c r="B135" s="1" t="s">
        <v>786</v>
      </c>
      <c r="C135" s="1" t="s">
        <v>328</v>
      </c>
      <c r="D135" s="1" t="s">
        <v>1077</v>
      </c>
      <c r="E135" s="23">
        <v>1</v>
      </c>
      <c r="F135" s="2" t="s">
        <v>1081</v>
      </c>
    </row>
    <row r="136" spans="1:6" ht="17" x14ac:dyDescent="0.4">
      <c r="A136" s="1" t="str">
        <f>_xlfn.XLOOKUP(B136,表格1[ID],表格1[Dish])</f>
        <v>梅汁涼拌秋葵</v>
      </c>
      <c r="B136" s="1" t="s">
        <v>786</v>
      </c>
      <c r="C136" s="1" t="s">
        <v>329</v>
      </c>
      <c r="D136" s="1" t="s">
        <v>1079</v>
      </c>
      <c r="E136" s="23">
        <v>1</v>
      </c>
      <c r="F136" s="2" t="s">
        <v>283</v>
      </c>
    </row>
    <row r="137" spans="1:6" ht="17" x14ac:dyDescent="0.4">
      <c r="A137" s="1" t="str">
        <f>_xlfn.XLOOKUP(B137,表格1[ID],表格1[Dish])</f>
        <v>梅汁涼拌秋葵</v>
      </c>
      <c r="B137" s="1" t="s">
        <v>786</v>
      </c>
      <c r="C137" s="1" t="s">
        <v>329</v>
      </c>
      <c r="D137" s="1" t="s">
        <v>430</v>
      </c>
      <c r="E137" s="23">
        <v>1</v>
      </c>
      <c r="F137" s="2" t="s">
        <v>283</v>
      </c>
    </row>
    <row r="138" spans="1:6" ht="17" x14ac:dyDescent="0.4">
      <c r="A138" s="1" t="str">
        <f>_xlfn.XLOOKUP(B138,表格1[ID],表格1[Dish])</f>
        <v>梅汁涼拌秋葵</v>
      </c>
      <c r="B138" s="1" t="s">
        <v>786</v>
      </c>
      <c r="C138" s="1" t="s">
        <v>329</v>
      </c>
      <c r="D138" s="1" t="s">
        <v>864</v>
      </c>
      <c r="E138" s="23">
        <v>1</v>
      </c>
      <c r="F138" s="2" t="s">
        <v>283</v>
      </c>
    </row>
    <row r="139" spans="1:6" x14ac:dyDescent="0.4">
      <c r="A139" s="1" t="str">
        <f>_xlfn.XLOOKUP(B139,表格1[ID],表格1[Dish])</f>
        <v>野菜炒豬肉</v>
      </c>
      <c r="B139" s="1" t="s">
        <v>724</v>
      </c>
      <c r="C139" s="1" t="s">
        <v>328</v>
      </c>
      <c r="D139" s="1" t="s">
        <v>859</v>
      </c>
      <c r="E139" s="23">
        <v>200</v>
      </c>
      <c r="F139" s="1" t="s">
        <v>271</v>
      </c>
    </row>
    <row r="140" spans="1:6" ht="17" x14ac:dyDescent="0.4">
      <c r="A140" s="1" t="str">
        <f>_xlfn.XLOOKUP(B140,表格1[ID],表格1[Dish])</f>
        <v>野菜炒豬肉</v>
      </c>
      <c r="B140" s="1" t="s">
        <v>724</v>
      </c>
      <c r="C140" s="1" t="s">
        <v>328</v>
      </c>
      <c r="D140" s="1" t="s">
        <v>841</v>
      </c>
      <c r="E140" s="23">
        <v>0.25</v>
      </c>
      <c r="F140" s="2" t="s">
        <v>842</v>
      </c>
    </row>
    <row r="141" spans="1:6" ht="17" x14ac:dyDescent="0.4">
      <c r="A141" s="1" t="str">
        <f>_xlfn.XLOOKUP(B141,表格1[ID],表格1[Dish])</f>
        <v>野菜炒豬肉</v>
      </c>
      <c r="B141" s="1" t="s">
        <v>724</v>
      </c>
      <c r="C141" s="1" t="s">
        <v>328</v>
      </c>
      <c r="D141" s="1" t="s">
        <v>308</v>
      </c>
      <c r="E141" s="23">
        <v>0.5</v>
      </c>
      <c r="F141" s="2" t="s">
        <v>316</v>
      </c>
    </row>
    <row r="142" spans="1:6" ht="17" x14ac:dyDescent="0.4">
      <c r="A142" s="1" t="str">
        <f>_xlfn.XLOOKUP(B142,表格1[ID],表格1[Dish])</f>
        <v>野菜炒豬肉</v>
      </c>
      <c r="B142" s="1" t="s">
        <v>724</v>
      </c>
      <c r="C142" s="1" t="s">
        <v>328</v>
      </c>
      <c r="D142" s="1" t="s">
        <v>1082</v>
      </c>
      <c r="E142" s="23">
        <v>1</v>
      </c>
      <c r="F142" s="2" t="s">
        <v>1087</v>
      </c>
    </row>
    <row r="143" spans="1:6" ht="17" x14ac:dyDescent="0.4">
      <c r="A143" s="1" t="str">
        <f>_xlfn.XLOOKUP(B143,表格1[ID],表格1[Dish])</f>
        <v>野菜炒豬肉</v>
      </c>
      <c r="B143" s="1" t="s">
        <v>724</v>
      </c>
      <c r="C143" s="1" t="s">
        <v>328</v>
      </c>
      <c r="D143" s="22" t="s">
        <v>346</v>
      </c>
      <c r="E143" s="23">
        <v>2</v>
      </c>
      <c r="F143" s="1" t="s">
        <v>316</v>
      </c>
    </row>
    <row r="144" spans="1:6" x14ac:dyDescent="0.4">
      <c r="A144" s="1" t="str">
        <f>_xlfn.XLOOKUP(B144,表格1[ID],表格1[Dish])</f>
        <v>野菜炒豬肉</v>
      </c>
      <c r="B144" s="1" t="s">
        <v>724</v>
      </c>
      <c r="C144" s="1" t="s">
        <v>328</v>
      </c>
      <c r="D144" s="1" t="s">
        <v>403</v>
      </c>
      <c r="E144" s="23">
        <v>2</v>
      </c>
      <c r="F144" s="1" t="s">
        <v>406</v>
      </c>
    </row>
    <row r="145" spans="1:6" x14ac:dyDescent="0.4">
      <c r="A145" s="1" t="str">
        <f>_xlfn.XLOOKUP(B145,表格1[ID],表格1[Dish])</f>
        <v>野菜炒豬肉</v>
      </c>
      <c r="B145" s="1" t="s">
        <v>724</v>
      </c>
      <c r="C145" s="1" t="s">
        <v>329</v>
      </c>
      <c r="D145" s="1" t="s">
        <v>236</v>
      </c>
      <c r="E145" s="23" t="s">
        <v>350</v>
      </c>
      <c r="F145" s="1" t="s">
        <v>351</v>
      </c>
    </row>
    <row r="146" spans="1:6" x14ac:dyDescent="0.4">
      <c r="A146" s="1" t="str">
        <f>_xlfn.XLOOKUP(B146,表格1[ID],表格1[Dish])</f>
        <v>野菜炒豬肉</v>
      </c>
      <c r="B146" s="1" t="s">
        <v>724</v>
      </c>
      <c r="C146" s="1" t="s">
        <v>329</v>
      </c>
      <c r="D146" s="1" t="s">
        <v>430</v>
      </c>
      <c r="E146" s="23">
        <v>1</v>
      </c>
      <c r="F146" s="1" t="s">
        <v>244</v>
      </c>
    </row>
    <row r="147" spans="1:6" x14ac:dyDescent="0.4">
      <c r="A147" s="1" t="str">
        <f>_xlfn.XLOOKUP(B147,表格1[ID],表格1[Dish])</f>
        <v>野菜炒豬肉</v>
      </c>
      <c r="B147" s="1" t="s">
        <v>724</v>
      </c>
      <c r="C147" s="1" t="s">
        <v>329</v>
      </c>
      <c r="D147" s="1" t="s">
        <v>238</v>
      </c>
      <c r="E147" s="23">
        <v>0.5</v>
      </c>
      <c r="F147" s="1" t="s">
        <v>244</v>
      </c>
    </row>
    <row r="148" spans="1:6" x14ac:dyDescent="0.4">
      <c r="A148" s="1" t="str">
        <f>_xlfn.XLOOKUP(B148,表格1[ID],表格1[Dish])</f>
        <v>拍青瓜</v>
      </c>
      <c r="B148" s="1" t="s">
        <v>137</v>
      </c>
      <c r="C148" s="1" t="s">
        <v>328</v>
      </c>
      <c r="D148" s="1" t="s">
        <v>1093</v>
      </c>
      <c r="E148" s="23">
        <v>1</v>
      </c>
      <c r="F148" s="1" t="s">
        <v>1085</v>
      </c>
    </row>
    <row r="149" spans="1:6" x14ac:dyDescent="0.4">
      <c r="A149" s="1" t="str">
        <f>_xlfn.XLOOKUP(B149,表格1[ID],表格1[Dish])</f>
        <v>拍青瓜</v>
      </c>
      <c r="B149" s="1" t="s">
        <v>137</v>
      </c>
      <c r="C149" s="1" t="s">
        <v>329</v>
      </c>
      <c r="D149" s="1" t="s">
        <v>403</v>
      </c>
      <c r="E149" s="23">
        <v>5</v>
      </c>
      <c r="F149" s="1" t="s">
        <v>1086</v>
      </c>
    </row>
    <row r="150" spans="1:6" x14ac:dyDescent="0.4">
      <c r="A150" s="1" t="str">
        <f>_xlfn.XLOOKUP(B150,表格1[ID],表格1[Dish])</f>
        <v>拍青瓜</v>
      </c>
      <c r="B150" s="1" t="s">
        <v>137</v>
      </c>
      <c r="C150" s="1" t="s">
        <v>329</v>
      </c>
      <c r="D150" s="1" t="s">
        <v>1095</v>
      </c>
      <c r="E150" s="23">
        <v>2</v>
      </c>
      <c r="F150" s="1" t="s">
        <v>353</v>
      </c>
    </row>
    <row r="151" spans="1:6" x14ac:dyDescent="0.4">
      <c r="A151" s="1" t="str">
        <f>_xlfn.XLOOKUP(B151,表格1[ID],表格1[Dish])</f>
        <v>拍青瓜</v>
      </c>
      <c r="B151" s="1" t="s">
        <v>137</v>
      </c>
      <c r="C151" s="1" t="s">
        <v>329</v>
      </c>
      <c r="D151" s="1" t="s">
        <v>238</v>
      </c>
      <c r="E151" s="23">
        <v>2</v>
      </c>
      <c r="F151" s="1" t="s">
        <v>349</v>
      </c>
    </row>
    <row r="152" spans="1:6" x14ac:dyDescent="0.4">
      <c r="A152" s="1" t="str">
        <f>_xlfn.XLOOKUP(B152,表格1[ID],表格1[Dish])</f>
        <v>拍青瓜</v>
      </c>
      <c r="B152" s="1" t="s">
        <v>137</v>
      </c>
      <c r="C152" s="1" t="s">
        <v>329</v>
      </c>
      <c r="D152" s="1" t="s">
        <v>340</v>
      </c>
      <c r="E152" s="23">
        <v>1</v>
      </c>
      <c r="F152" s="23" t="s">
        <v>353</v>
      </c>
    </row>
    <row r="153" spans="1:6" x14ac:dyDescent="0.4">
      <c r="A153" s="1" t="str">
        <f>_xlfn.XLOOKUP(B153,表格1[ID],表格1[Dish])</f>
        <v>拍青瓜</v>
      </c>
      <c r="B153" s="1" t="s">
        <v>137</v>
      </c>
      <c r="C153" s="1" t="s">
        <v>329</v>
      </c>
      <c r="D153" s="1" t="s">
        <v>236</v>
      </c>
      <c r="E153" s="23">
        <v>1</v>
      </c>
      <c r="F153" s="23" t="s">
        <v>349</v>
      </c>
    </row>
    <row r="154" spans="1:6" x14ac:dyDescent="0.4">
      <c r="A154" s="1" t="str">
        <f>_xlfn.XLOOKUP(B154,表格1[ID],表格1[Dish])</f>
        <v>拍青瓜</v>
      </c>
      <c r="B154" s="1" t="s">
        <v>137</v>
      </c>
      <c r="C154" s="1" t="s">
        <v>329</v>
      </c>
      <c r="D154" s="1" t="s">
        <v>430</v>
      </c>
      <c r="E154" s="23">
        <v>1</v>
      </c>
      <c r="F154" s="23" t="s">
        <v>349</v>
      </c>
    </row>
    <row r="155" spans="1:6" x14ac:dyDescent="0.4">
      <c r="A155" s="1" t="str">
        <f>_xlfn.XLOOKUP(B155,表格1[ID],表格1[Dish])</f>
        <v>拍青瓜</v>
      </c>
      <c r="B155" s="1" t="s">
        <v>137</v>
      </c>
      <c r="C155" s="1" t="s">
        <v>329</v>
      </c>
      <c r="D155" s="1" t="s">
        <v>1097</v>
      </c>
      <c r="E155" s="23" t="s">
        <v>350</v>
      </c>
      <c r="F155" s="23" t="s">
        <v>351</v>
      </c>
    </row>
    <row r="156" spans="1:6" x14ac:dyDescent="0.4">
      <c r="A156" s="1" t="str">
        <f>_xlfn.XLOOKUP(B156,表格1[ID],表格1[Dish])</f>
        <v>涼拌雞絲</v>
      </c>
      <c r="B156" s="1" t="s">
        <v>138</v>
      </c>
      <c r="C156" s="1" t="s">
        <v>328</v>
      </c>
      <c r="D156" s="1" t="s">
        <v>1107</v>
      </c>
      <c r="E156" s="23">
        <v>4</v>
      </c>
      <c r="F156" s="23" t="s">
        <v>1101</v>
      </c>
    </row>
    <row r="157" spans="1:6" x14ac:dyDescent="0.4">
      <c r="A157" s="1" t="str">
        <f>_xlfn.XLOOKUP(B157,表格1[ID],表格1[Dish])</f>
        <v>涼拌雞絲</v>
      </c>
      <c r="B157" s="1" t="s">
        <v>138</v>
      </c>
      <c r="C157" s="1" t="s">
        <v>329</v>
      </c>
      <c r="D157" s="1" t="s">
        <v>428</v>
      </c>
      <c r="E157" s="23">
        <v>1</v>
      </c>
      <c r="F157" s="23" t="s">
        <v>349</v>
      </c>
    </row>
    <row r="158" spans="1:6" x14ac:dyDescent="0.4">
      <c r="A158" s="1" t="str">
        <f>_xlfn.XLOOKUP(B158,表格1[ID],表格1[Dish])</f>
        <v>涼拌雞絲</v>
      </c>
      <c r="B158" s="1" t="s">
        <v>138</v>
      </c>
      <c r="C158" s="1" t="s">
        <v>329</v>
      </c>
      <c r="D158" s="1" t="s">
        <v>236</v>
      </c>
      <c r="E158" s="23">
        <v>1</v>
      </c>
      <c r="F158" s="23" t="s">
        <v>349</v>
      </c>
    </row>
    <row r="159" spans="1:6" x14ac:dyDescent="0.4">
      <c r="A159" s="1" t="str">
        <f>_xlfn.XLOOKUP(B159,表格1[ID],表格1[Dish])</f>
        <v>涼拌雞絲</v>
      </c>
      <c r="B159" s="1" t="s">
        <v>138</v>
      </c>
      <c r="C159" s="1" t="s">
        <v>329</v>
      </c>
      <c r="D159" s="1" t="s">
        <v>343</v>
      </c>
      <c r="E159" s="23">
        <v>1</v>
      </c>
      <c r="F159" s="23" t="s">
        <v>349</v>
      </c>
    </row>
    <row r="160" spans="1:6" x14ac:dyDescent="0.4">
      <c r="A160" s="1" t="str">
        <f>_xlfn.XLOOKUP(B160,表格1[ID],表格1[Dish])</f>
        <v>涼拌雞絲</v>
      </c>
      <c r="B160" s="1" t="s">
        <v>138</v>
      </c>
      <c r="C160" s="1" t="s">
        <v>329</v>
      </c>
      <c r="D160" s="1" t="s">
        <v>340</v>
      </c>
      <c r="E160" s="23" t="s">
        <v>350</v>
      </c>
      <c r="F160" s="23" t="s">
        <v>351</v>
      </c>
    </row>
    <row r="161" spans="1:6" x14ac:dyDescent="0.4">
      <c r="A161" s="1" t="str">
        <f>_xlfn.XLOOKUP(B161,表格1[ID],表格1[Dish])</f>
        <v>涼拌雞絲</v>
      </c>
      <c r="B161" s="1" t="s">
        <v>138</v>
      </c>
      <c r="C161" s="1" t="s">
        <v>352</v>
      </c>
      <c r="D161" s="1" t="s">
        <v>1109</v>
      </c>
      <c r="E161" s="23" t="s">
        <v>350</v>
      </c>
      <c r="F161" s="23" t="s">
        <v>351</v>
      </c>
    </row>
    <row r="162" spans="1:6" x14ac:dyDescent="0.4">
      <c r="A162" s="1" t="str">
        <f>_xlfn.XLOOKUP(B162,表格1[ID],表格1[Dish])</f>
        <v>薑汁撞奶</v>
      </c>
      <c r="B162" s="1" t="s">
        <v>143</v>
      </c>
      <c r="C162" s="1" t="s">
        <v>328</v>
      </c>
      <c r="D162" s="1" t="s">
        <v>279</v>
      </c>
      <c r="E162" s="23">
        <v>2</v>
      </c>
      <c r="F162" s="23" t="s">
        <v>1120</v>
      </c>
    </row>
    <row r="163" spans="1:6" ht="17" x14ac:dyDescent="0.4">
      <c r="A163" s="1" t="str">
        <f>_xlfn.XLOOKUP(B163,表格1[ID],表格1[Dish])</f>
        <v>薑汁撞奶</v>
      </c>
      <c r="B163" s="1" t="s">
        <v>143</v>
      </c>
      <c r="C163" s="1" t="s">
        <v>329</v>
      </c>
      <c r="D163" s="2" t="s">
        <v>1121</v>
      </c>
      <c r="E163" s="23">
        <v>2</v>
      </c>
      <c r="F163" s="23" t="s">
        <v>283</v>
      </c>
    </row>
    <row r="164" spans="1:6" x14ac:dyDescent="0.4">
      <c r="A164" s="1" t="str">
        <f>_xlfn.XLOOKUP(B164,表格1[ID],表格1[Dish])</f>
        <v>薑汁撞奶</v>
      </c>
      <c r="B164" s="1" t="s">
        <v>143</v>
      </c>
      <c r="C164" s="1" t="s">
        <v>329</v>
      </c>
      <c r="D164" s="1" t="s">
        <v>238</v>
      </c>
      <c r="E164" s="23">
        <v>2</v>
      </c>
      <c r="F164" s="23" t="s">
        <v>244</v>
      </c>
    </row>
    <row r="165" spans="1:6" x14ac:dyDescent="0.4">
      <c r="A165" s="1" t="str">
        <f>_xlfn.XLOOKUP(B165,表格1[ID],表格1[Dish])</f>
        <v>洋葱豬排</v>
      </c>
      <c r="B165" s="1" t="s">
        <v>144</v>
      </c>
      <c r="C165" s="1" t="s">
        <v>328</v>
      </c>
      <c r="D165" s="1" t="s">
        <v>1133</v>
      </c>
      <c r="E165" s="23">
        <v>2</v>
      </c>
      <c r="F165" s="23" t="s">
        <v>1127</v>
      </c>
    </row>
    <row r="166" spans="1:6" ht="17" x14ac:dyDescent="0.4">
      <c r="A166" s="1" t="str">
        <f>_xlfn.XLOOKUP(B166,表格1[ID],表格1[Dish])</f>
        <v>洋葱豬排</v>
      </c>
      <c r="B166" s="1" t="s">
        <v>144</v>
      </c>
      <c r="C166" s="1" t="s">
        <v>328</v>
      </c>
      <c r="D166" s="1" t="s">
        <v>869</v>
      </c>
      <c r="E166" s="1">
        <v>1</v>
      </c>
      <c r="F166" s="1" t="s">
        <v>1154</v>
      </c>
    </row>
    <row r="167" spans="1:6" ht="17" x14ac:dyDescent="0.4">
      <c r="A167" s="1" t="str">
        <f>_xlfn.XLOOKUP(B167,表格1[ID],表格1[Dish])</f>
        <v>洋葱豬排</v>
      </c>
      <c r="B167" s="1" t="s">
        <v>144</v>
      </c>
      <c r="C167" s="9" t="s">
        <v>329</v>
      </c>
      <c r="D167" s="1" t="s">
        <v>334</v>
      </c>
      <c r="E167" s="1">
        <v>1</v>
      </c>
      <c r="F167" s="1" t="s">
        <v>390</v>
      </c>
    </row>
    <row r="168" spans="1:6" ht="17" x14ac:dyDescent="0.4">
      <c r="A168" s="1" t="str">
        <f>_xlfn.XLOOKUP(B168,表格1[ID],表格1[Dish])</f>
        <v>洋葱豬排</v>
      </c>
      <c r="B168" s="1" t="s">
        <v>144</v>
      </c>
      <c r="C168" s="9" t="s">
        <v>329</v>
      </c>
      <c r="D168" s="1" t="s">
        <v>223</v>
      </c>
      <c r="E168" s="1">
        <v>1</v>
      </c>
      <c r="F168" s="1" t="s">
        <v>1155</v>
      </c>
    </row>
    <row r="169" spans="1:6" ht="17" x14ac:dyDescent="0.4">
      <c r="A169" s="1" t="str">
        <f>_xlfn.XLOOKUP(B169,表格1[ID],表格1[Dish])</f>
        <v>洋葱豬排</v>
      </c>
      <c r="B169" s="1" t="s">
        <v>144</v>
      </c>
      <c r="C169" s="9" t="s">
        <v>329</v>
      </c>
      <c r="D169" s="1" t="s">
        <v>236</v>
      </c>
      <c r="E169" s="27">
        <v>0.33333333333333331</v>
      </c>
      <c r="F169" s="1" t="s">
        <v>390</v>
      </c>
    </row>
    <row r="170" spans="1:6" ht="17" x14ac:dyDescent="0.4">
      <c r="A170" s="1" t="str">
        <f>_xlfn.XLOOKUP(B170,表格1[ID],表格1[Dish])</f>
        <v>洋葱豬排</v>
      </c>
      <c r="B170" s="1" t="s">
        <v>144</v>
      </c>
      <c r="C170" s="9" t="s">
        <v>329</v>
      </c>
      <c r="D170" s="1" t="s">
        <v>238</v>
      </c>
      <c r="E170" s="1">
        <v>1</v>
      </c>
      <c r="F170" s="1" t="s">
        <v>390</v>
      </c>
    </row>
    <row r="171" spans="1:6" ht="17" x14ac:dyDescent="0.4">
      <c r="A171" s="1" t="str">
        <f>_xlfn.XLOOKUP(B171,表格1[ID],表格1[Dish])</f>
        <v>洋葱豬排</v>
      </c>
      <c r="B171" s="1" t="s">
        <v>144</v>
      </c>
      <c r="C171" s="9" t="s">
        <v>329</v>
      </c>
      <c r="D171" s="1" t="s">
        <v>430</v>
      </c>
      <c r="E171" s="1">
        <v>1</v>
      </c>
      <c r="F171" s="1" t="s">
        <v>1156</v>
      </c>
    </row>
    <row r="172" spans="1:6" ht="17" x14ac:dyDescent="0.4">
      <c r="A172" s="1" t="str">
        <f>_xlfn.XLOOKUP(B172,表格1[ID],表格1[Dish])</f>
        <v>洋葱豬排</v>
      </c>
      <c r="B172" s="1" t="s">
        <v>144</v>
      </c>
      <c r="C172" s="9" t="s">
        <v>329</v>
      </c>
      <c r="D172" s="1" t="s">
        <v>1121</v>
      </c>
      <c r="E172" s="1">
        <v>1</v>
      </c>
      <c r="F172" s="1" t="s">
        <v>390</v>
      </c>
    </row>
    <row r="173" spans="1:6" ht="17" x14ac:dyDescent="0.4">
      <c r="A173" s="1" t="str">
        <f>_xlfn.XLOOKUP(B173,表格1[ID],表格1[Dish])</f>
        <v>洋葱豬排</v>
      </c>
      <c r="B173" s="1" t="s">
        <v>144</v>
      </c>
      <c r="C173" s="9" t="s">
        <v>329</v>
      </c>
      <c r="D173" s="1" t="s">
        <v>312</v>
      </c>
      <c r="E173" s="27">
        <v>0.33333333333333331</v>
      </c>
      <c r="F173" s="1" t="s">
        <v>390</v>
      </c>
    </row>
    <row r="174" spans="1:6" ht="17" x14ac:dyDescent="0.4">
      <c r="A174" s="1" t="str">
        <f>_xlfn.XLOOKUP(B174,表格1[ID],表格1[Dish])</f>
        <v>洋葱豬排</v>
      </c>
      <c r="B174" s="1" t="s">
        <v>144</v>
      </c>
      <c r="C174" s="9" t="s">
        <v>329</v>
      </c>
      <c r="D174" s="1" t="s">
        <v>240</v>
      </c>
      <c r="E174" s="1">
        <v>1</v>
      </c>
      <c r="F174" s="1" t="s">
        <v>1156</v>
      </c>
    </row>
    <row r="175" spans="1:6" ht="17" x14ac:dyDescent="0.4">
      <c r="A175" s="1" t="str">
        <f>_xlfn.XLOOKUP(B175,表格1[ID],表格1[Dish])</f>
        <v>洋葱豬排</v>
      </c>
      <c r="B175" s="1" t="s">
        <v>144</v>
      </c>
      <c r="C175" s="9" t="s">
        <v>329</v>
      </c>
      <c r="D175" s="1" t="s">
        <v>1135</v>
      </c>
      <c r="E175" s="1">
        <v>1</v>
      </c>
      <c r="F175" s="1" t="s">
        <v>1156</v>
      </c>
    </row>
    <row r="176" spans="1:6" ht="17" x14ac:dyDescent="0.4">
      <c r="A176" s="1" t="str">
        <f>_xlfn.XLOOKUP(B176,表格1[ID],表格1[Dish])</f>
        <v>洋葱豬排</v>
      </c>
      <c r="B176" s="1" t="s">
        <v>144</v>
      </c>
      <c r="C176" s="26" t="s">
        <v>1139</v>
      </c>
      <c r="D176" t="s">
        <v>430</v>
      </c>
      <c r="E176" s="1">
        <v>1</v>
      </c>
      <c r="F176" s="1" t="s">
        <v>1157</v>
      </c>
    </row>
    <row r="177" spans="1:6" ht="17" x14ac:dyDescent="0.4">
      <c r="A177" s="1" t="str">
        <f>_xlfn.XLOOKUP(B177,表格1[ID],表格1[Dish])</f>
        <v>洋葱豬排</v>
      </c>
      <c r="B177" s="1" t="s">
        <v>144</v>
      </c>
      <c r="C177" s="26" t="s">
        <v>1140</v>
      </c>
      <c r="D177" t="s">
        <v>236</v>
      </c>
      <c r="E177" s="27">
        <v>0.33333333333333331</v>
      </c>
      <c r="F177" s="1" t="s">
        <v>390</v>
      </c>
    </row>
    <row r="178" spans="1:6" ht="17" x14ac:dyDescent="0.4">
      <c r="A178" s="1" t="str">
        <f>_xlfn.XLOOKUP(B178,表格1[ID],表格1[Dish])</f>
        <v>洋葱豬排</v>
      </c>
      <c r="B178" s="1" t="s">
        <v>144</v>
      </c>
      <c r="C178" s="26" t="s">
        <v>1140</v>
      </c>
      <c r="D178" t="s">
        <v>238</v>
      </c>
      <c r="E178" s="1">
        <v>1</v>
      </c>
      <c r="F178" s="1" t="s">
        <v>390</v>
      </c>
    </row>
    <row r="179" spans="1:6" ht="17" x14ac:dyDescent="0.4">
      <c r="A179" s="1" t="str">
        <f>_xlfn.XLOOKUP(B179,表格1[ID],表格1[Dish])</f>
        <v>洋葱豬排</v>
      </c>
      <c r="B179" s="1" t="s">
        <v>144</v>
      </c>
      <c r="C179" s="26" t="s">
        <v>1140</v>
      </c>
      <c r="D179" s="1" t="s">
        <v>1141</v>
      </c>
      <c r="E179" s="1">
        <v>3</v>
      </c>
      <c r="F179" s="1" t="s">
        <v>1157</v>
      </c>
    </row>
    <row r="180" spans="1:6" ht="17" x14ac:dyDescent="0.4">
      <c r="A180" s="1" t="str">
        <f>_xlfn.XLOOKUP(B180,表格1[ID],表格1[Dish])</f>
        <v>洋葱豬排</v>
      </c>
      <c r="B180" s="1" t="s">
        <v>144</v>
      </c>
      <c r="C180" s="26" t="s">
        <v>1140</v>
      </c>
      <c r="D180" s="1" t="s">
        <v>1143</v>
      </c>
      <c r="E180" s="1">
        <v>1</v>
      </c>
      <c r="F180" s="1" t="s">
        <v>1157</v>
      </c>
    </row>
    <row r="181" spans="1:6" ht="17" x14ac:dyDescent="0.4">
      <c r="A181" s="1" t="str">
        <f>_xlfn.XLOOKUP(B181,表格1[ID],表格1[Dish])</f>
        <v>洋葱豬排</v>
      </c>
      <c r="B181" s="1" t="s">
        <v>144</v>
      </c>
      <c r="C181" s="26" t="s">
        <v>1140</v>
      </c>
      <c r="D181" s="1" t="s">
        <v>430</v>
      </c>
      <c r="E181" s="1">
        <v>1</v>
      </c>
      <c r="F181" s="1" t="s">
        <v>1157</v>
      </c>
    </row>
    <row r="182" spans="1:6" ht="17" x14ac:dyDescent="0.4">
      <c r="A182" s="1" t="str">
        <f>_xlfn.XLOOKUP(B182,表格1[ID],表格1[Dish])</f>
        <v>洋葱豬排</v>
      </c>
      <c r="B182" s="1" t="s">
        <v>144</v>
      </c>
      <c r="C182" s="26" t="s">
        <v>1140</v>
      </c>
      <c r="D182" s="1" t="s">
        <v>337</v>
      </c>
      <c r="E182" s="27">
        <v>0.33333333333333331</v>
      </c>
      <c r="F182" s="1" t="s">
        <v>390</v>
      </c>
    </row>
    <row r="183" spans="1:6" x14ac:dyDescent="0.4">
      <c r="A183" s="1" t="str">
        <f>_xlfn.XLOOKUP(B183,表格1[ID],表格1[Dish])</f>
        <v>甜椒櫛瓜味噌豬五花</v>
      </c>
      <c r="B183" s="1" t="s">
        <v>722</v>
      </c>
      <c r="C183" s="1" t="s">
        <v>328</v>
      </c>
      <c r="D183" s="1" t="s">
        <v>859</v>
      </c>
      <c r="E183" s="23">
        <v>200</v>
      </c>
      <c r="F183" s="1" t="s">
        <v>271</v>
      </c>
    </row>
    <row r="184" spans="1:6" ht="17" x14ac:dyDescent="0.4">
      <c r="A184" s="1" t="str">
        <f>_xlfn.XLOOKUP(B184,表格1[ID],表格1[Dish])</f>
        <v>甜椒櫛瓜味噌豬五花</v>
      </c>
      <c r="B184" s="1" t="s">
        <v>722</v>
      </c>
      <c r="C184" s="1" t="s">
        <v>328</v>
      </c>
      <c r="D184" s="1" t="s">
        <v>1146</v>
      </c>
      <c r="E184" s="23">
        <v>1</v>
      </c>
      <c r="F184" s="2" t="s">
        <v>842</v>
      </c>
    </row>
    <row r="185" spans="1:6" ht="17" x14ac:dyDescent="0.4">
      <c r="A185" s="1" t="str">
        <f>_xlfn.XLOOKUP(B185,表格1[ID],表格1[Dish])</f>
        <v>甜椒櫛瓜味噌豬五花</v>
      </c>
      <c r="B185" s="1" t="s">
        <v>722</v>
      </c>
      <c r="C185" s="1" t="s">
        <v>328</v>
      </c>
      <c r="D185" s="1" t="s">
        <v>1148</v>
      </c>
      <c r="E185" s="23">
        <v>1</v>
      </c>
      <c r="F185" s="2" t="s">
        <v>316</v>
      </c>
    </row>
    <row r="186" spans="1:6" ht="17" x14ac:dyDescent="0.4">
      <c r="A186" s="1" t="str">
        <f>_xlfn.XLOOKUP(B186,表格1[ID],表格1[Dish])</f>
        <v>甜椒櫛瓜味噌豬五花</v>
      </c>
      <c r="B186" s="1" t="s">
        <v>722</v>
      </c>
      <c r="C186" s="1" t="s">
        <v>329</v>
      </c>
      <c r="D186" s="1" t="s">
        <v>1150</v>
      </c>
      <c r="E186" s="23">
        <v>1</v>
      </c>
      <c r="F186" s="2" t="s">
        <v>283</v>
      </c>
    </row>
    <row r="187" spans="1:6" ht="17" x14ac:dyDescent="0.4">
      <c r="A187" s="1" t="str">
        <f>_xlfn.XLOOKUP(B187,表格1[ID],表格1[Dish])</f>
        <v>甜椒櫛瓜味噌豬五花</v>
      </c>
      <c r="B187" s="1" t="s">
        <v>722</v>
      </c>
      <c r="C187" s="1" t="s">
        <v>329</v>
      </c>
      <c r="D187" s="1" t="s">
        <v>864</v>
      </c>
      <c r="E187" s="23">
        <v>1</v>
      </c>
      <c r="F187" s="2" t="s">
        <v>283</v>
      </c>
    </row>
    <row r="188" spans="1:6" ht="17" x14ac:dyDescent="0.4">
      <c r="A188" s="1" t="str">
        <f>_xlfn.XLOOKUP(B188,表格1[ID],表格1[Dish])</f>
        <v>甜椒櫛瓜味噌豬五花</v>
      </c>
      <c r="B188" s="1" t="s">
        <v>722</v>
      </c>
      <c r="C188" s="1" t="s">
        <v>329</v>
      </c>
      <c r="D188" s="1" t="s">
        <v>1152</v>
      </c>
      <c r="E188" s="23">
        <v>1</v>
      </c>
      <c r="F188" s="2" t="s">
        <v>283</v>
      </c>
    </row>
    <row r="189" spans="1:6" ht="17" x14ac:dyDescent="0.4">
      <c r="A189" s="1" t="str">
        <f>_xlfn.XLOOKUP(B189,表格1[ID],表格1[Dish])</f>
        <v>甜椒櫛瓜味噌豬五花</v>
      </c>
      <c r="B189" s="1" t="s">
        <v>722</v>
      </c>
      <c r="C189" s="1" t="s">
        <v>329</v>
      </c>
      <c r="D189" s="1" t="s">
        <v>238</v>
      </c>
      <c r="E189" s="23">
        <v>1</v>
      </c>
      <c r="F189" s="2" t="s">
        <v>244</v>
      </c>
    </row>
    <row r="190" spans="1:6" ht="17" x14ac:dyDescent="0.4">
      <c r="A190" s="1" t="str">
        <f>_xlfn.XLOOKUP(B190,表格1[ID],表格1[Dish])</f>
        <v>塔香野菇炒粟米仔</v>
      </c>
      <c r="B190" s="1" t="s">
        <v>789</v>
      </c>
      <c r="C190" s="1" t="s">
        <v>328</v>
      </c>
      <c r="D190" s="1" t="s">
        <v>1162</v>
      </c>
      <c r="E190" s="23">
        <v>1</v>
      </c>
      <c r="F190" s="2" t="s">
        <v>1081</v>
      </c>
    </row>
    <row r="191" spans="1:6" ht="17" x14ac:dyDescent="0.4">
      <c r="A191" s="1" t="str">
        <f>_xlfn.XLOOKUP(B191,表格1[ID],表格1[Dish])</f>
        <v>塔香野菇炒粟米仔</v>
      </c>
      <c r="B191" s="1" t="s">
        <v>789</v>
      </c>
      <c r="C191" s="1" t="s">
        <v>328</v>
      </c>
      <c r="D191" s="1" t="s">
        <v>1164</v>
      </c>
      <c r="E191" s="25" t="s">
        <v>1169</v>
      </c>
      <c r="F191" s="2" t="s">
        <v>316</v>
      </c>
    </row>
    <row r="192" spans="1:6" ht="17" x14ac:dyDescent="0.4">
      <c r="A192" s="1" t="str">
        <f>_xlfn.XLOOKUP(B192,表格1[ID],表格1[Dish])</f>
        <v>塔香野菇炒粟米仔</v>
      </c>
      <c r="B192" s="1" t="s">
        <v>789</v>
      </c>
      <c r="C192" s="1" t="s">
        <v>328</v>
      </c>
      <c r="D192" s="1" t="s">
        <v>1166</v>
      </c>
      <c r="E192" s="23">
        <v>1</v>
      </c>
      <c r="F192" s="2" t="s">
        <v>1170</v>
      </c>
    </row>
    <row r="193" spans="1:6" ht="17" x14ac:dyDescent="0.4">
      <c r="A193" s="1" t="str">
        <f>_xlfn.XLOOKUP(B193,表格1[ID],表格1[Dish])</f>
        <v>塔香野菇炒粟米仔</v>
      </c>
      <c r="B193" s="1" t="s">
        <v>789</v>
      </c>
      <c r="C193" s="1" t="s">
        <v>329</v>
      </c>
      <c r="D193" s="1" t="s">
        <v>334</v>
      </c>
      <c r="E193" s="23">
        <v>1</v>
      </c>
      <c r="F193" s="2" t="s">
        <v>244</v>
      </c>
    </row>
    <row r="194" spans="1:6" ht="17" x14ac:dyDescent="0.4">
      <c r="A194" s="1" t="str">
        <f>_xlfn.XLOOKUP(B194,表格1[ID],表格1[Dish])</f>
        <v>塔香野菇炒粟米仔</v>
      </c>
      <c r="B194" s="1" t="s">
        <v>789</v>
      </c>
      <c r="C194" s="1" t="s">
        <v>329</v>
      </c>
      <c r="D194" s="1" t="s">
        <v>413</v>
      </c>
      <c r="E194" s="23">
        <v>1</v>
      </c>
      <c r="F194" s="2" t="s">
        <v>283</v>
      </c>
    </row>
    <row r="195" spans="1:6" ht="17" x14ac:dyDescent="0.4">
      <c r="A195" s="1" t="str">
        <f>_xlfn.XLOOKUP(B195,表格1[ID],表格1[Dish])</f>
        <v>洋蔥炒豬肉</v>
      </c>
      <c r="B195" s="1" t="s">
        <v>720</v>
      </c>
      <c r="C195" s="1" t="s">
        <v>328</v>
      </c>
      <c r="D195" s="1" t="s">
        <v>869</v>
      </c>
      <c r="E195" s="23">
        <v>1</v>
      </c>
      <c r="F195" s="2" t="s">
        <v>842</v>
      </c>
    </row>
    <row r="196" spans="1:6" x14ac:dyDescent="0.4">
      <c r="A196" s="1" t="str">
        <f>_xlfn.XLOOKUP(B196,表格1[ID],表格1[Dish])</f>
        <v>洋蔥炒豬肉</v>
      </c>
      <c r="B196" s="1" t="s">
        <v>720</v>
      </c>
      <c r="C196" s="1" t="s">
        <v>328</v>
      </c>
      <c r="D196" s="1" t="s">
        <v>859</v>
      </c>
      <c r="E196" s="23">
        <v>200</v>
      </c>
      <c r="F196" s="1" t="s">
        <v>271</v>
      </c>
    </row>
    <row r="197" spans="1:6" ht="17" x14ac:dyDescent="0.4">
      <c r="A197" s="1" t="str">
        <f>_xlfn.XLOOKUP(B197,表格1[ID],表格1[Dish])</f>
        <v>洋蔥炒豬肉</v>
      </c>
      <c r="B197" s="1" t="s">
        <v>720</v>
      </c>
      <c r="C197" s="1" t="s">
        <v>329</v>
      </c>
      <c r="D197" s="1" t="s">
        <v>430</v>
      </c>
      <c r="E197" s="23">
        <v>1</v>
      </c>
      <c r="F197" s="2" t="s">
        <v>283</v>
      </c>
    </row>
    <row r="198" spans="1:6" ht="17" x14ac:dyDescent="0.4">
      <c r="A198" s="1" t="str">
        <f>_xlfn.XLOOKUP(B198,表格1[ID],表格1[Dish])</f>
        <v>洋蔥炒豬肉</v>
      </c>
      <c r="B198" s="1" t="s">
        <v>720</v>
      </c>
      <c r="C198" s="1" t="s">
        <v>329</v>
      </c>
      <c r="D198" s="1" t="s">
        <v>864</v>
      </c>
      <c r="E198" s="23">
        <v>1</v>
      </c>
      <c r="F198" s="2" t="s">
        <v>283</v>
      </c>
    </row>
    <row r="199" spans="1:6" ht="17" x14ac:dyDescent="0.4">
      <c r="A199" s="1" t="str">
        <f>_xlfn.XLOOKUP(B199,表格1[ID],表格1[Dish])</f>
        <v>蕃茄炒蛋</v>
      </c>
      <c r="B199" s="1" t="s">
        <v>533</v>
      </c>
      <c r="C199" s="1" t="s">
        <v>328</v>
      </c>
      <c r="D199" s="1" t="s">
        <v>304</v>
      </c>
      <c r="E199" s="23">
        <v>1</v>
      </c>
      <c r="F199" s="2" t="s">
        <v>224</v>
      </c>
    </row>
    <row r="200" spans="1:6" ht="17" x14ac:dyDescent="0.4">
      <c r="A200" s="1" t="str">
        <f>_xlfn.XLOOKUP(B200,表格1[ID],表格1[Dish])</f>
        <v>蕃茄炒蛋</v>
      </c>
      <c r="B200" s="1" t="s">
        <v>533</v>
      </c>
      <c r="C200" s="1" t="s">
        <v>328</v>
      </c>
      <c r="D200" s="1" t="s">
        <v>223</v>
      </c>
      <c r="E200" s="23">
        <v>3</v>
      </c>
      <c r="F200" s="2" t="s">
        <v>224</v>
      </c>
    </row>
    <row r="201" spans="1:6" ht="17" x14ac:dyDescent="0.4">
      <c r="A201" s="1" t="str">
        <f>_xlfn.XLOOKUP(B201,表格1[ID],表格1[Dish])</f>
        <v>蕃茄炒蛋</v>
      </c>
      <c r="B201" s="1" t="s">
        <v>533</v>
      </c>
      <c r="C201" s="1" t="s">
        <v>329</v>
      </c>
      <c r="D201" s="1" t="s">
        <v>1141</v>
      </c>
      <c r="E201" s="23">
        <v>2</v>
      </c>
      <c r="F201" s="2" t="s">
        <v>283</v>
      </c>
    </row>
    <row r="202" spans="1:6" ht="17" x14ac:dyDescent="0.4">
      <c r="A202" s="1" t="str">
        <f>_xlfn.XLOOKUP(B202,表格1[ID],表格1[Dish])</f>
        <v>蕃茄炒蛋</v>
      </c>
      <c r="B202" s="1" t="s">
        <v>533</v>
      </c>
      <c r="C202" s="1" t="s">
        <v>329</v>
      </c>
      <c r="D202" s="1" t="s">
        <v>430</v>
      </c>
      <c r="E202" s="23">
        <v>1</v>
      </c>
      <c r="F202" s="2" t="s">
        <v>244</v>
      </c>
    </row>
    <row r="203" spans="1:6" ht="17" x14ac:dyDescent="0.4">
      <c r="A203" s="1" t="str">
        <f>_xlfn.XLOOKUP(B203,表格1[ID],表格1[Dish])</f>
        <v>蕃茄炒蛋</v>
      </c>
      <c r="B203" s="1" t="s">
        <v>533</v>
      </c>
      <c r="C203" s="1" t="s">
        <v>329</v>
      </c>
      <c r="D203" s="1" t="s">
        <v>238</v>
      </c>
      <c r="E203" s="23">
        <v>1</v>
      </c>
      <c r="F203" s="2" t="s">
        <v>244</v>
      </c>
    </row>
    <row r="204" spans="1:6" ht="17" x14ac:dyDescent="0.4">
      <c r="A204" s="1" t="str">
        <f>_xlfn.XLOOKUP(B204,表格1[ID],表格1[Dish])</f>
        <v>牛丼</v>
      </c>
      <c r="B204" s="1" t="s">
        <v>164</v>
      </c>
      <c r="C204" s="1" t="s">
        <v>328</v>
      </c>
      <c r="D204" s="1" t="s">
        <v>1179</v>
      </c>
      <c r="E204" s="23">
        <v>1</v>
      </c>
      <c r="F204" s="2" t="s">
        <v>686</v>
      </c>
    </row>
    <row r="205" spans="1:6" ht="17" x14ac:dyDescent="0.4">
      <c r="A205" s="1" t="str">
        <f>_xlfn.XLOOKUP(B205,表格1[ID],表格1[Dish])</f>
        <v>牛丼</v>
      </c>
      <c r="B205" s="1" t="s">
        <v>164</v>
      </c>
      <c r="C205" s="1" t="s">
        <v>328</v>
      </c>
      <c r="D205" s="1" t="s">
        <v>869</v>
      </c>
      <c r="E205" s="23">
        <v>1</v>
      </c>
      <c r="F205" s="2" t="s">
        <v>842</v>
      </c>
    </row>
    <row r="206" spans="1:6" x14ac:dyDescent="0.4">
      <c r="A206" s="1" t="str">
        <f>_xlfn.XLOOKUP(B206,表格1[ID],表格1[Dish])</f>
        <v>牛丼</v>
      </c>
      <c r="B206" s="1" t="s">
        <v>164</v>
      </c>
      <c r="C206" s="1" t="s">
        <v>329</v>
      </c>
      <c r="D206" s="1" t="s">
        <v>430</v>
      </c>
      <c r="E206" s="23">
        <v>30</v>
      </c>
      <c r="F206" s="1" t="s">
        <v>243</v>
      </c>
    </row>
    <row r="207" spans="1:6" x14ac:dyDescent="0.4">
      <c r="A207" s="1" t="str">
        <f>_xlfn.XLOOKUP(B207,表格1[ID],表格1[Dish])</f>
        <v>牛丼</v>
      </c>
      <c r="B207" s="1" t="s">
        <v>164</v>
      </c>
      <c r="C207" s="1" t="s">
        <v>329</v>
      </c>
      <c r="D207" s="1" t="s">
        <v>238</v>
      </c>
      <c r="E207" s="23">
        <v>25</v>
      </c>
      <c r="F207" s="1" t="s">
        <v>271</v>
      </c>
    </row>
    <row r="208" spans="1:6" x14ac:dyDescent="0.4">
      <c r="A208" s="1" t="str">
        <f>_xlfn.XLOOKUP(B208,表格1[ID],表格1[Dish])</f>
        <v>牛丼</v>
      </c>
      <c r="B208" s="1" t="s">
        <v>164</v>
      </c>
      <c r="C208" s="1" t="s">
        <v>329</v>
      </c>
      <c r="D208" s="1" t="s">
        <v>864</v>
      </c>
      <c r="E208" s="23">
        <v>30</v>
      </c>
      <c r="F208" s="1" t="s">
        <v>243</v>
      </c>
    </row>
    <row r="209" spans="1:6" x14ac:dyDescent="0.4">
      <c r="A209" s="1" t="str">
        <f>_xlfn.XLOOKUP(B209,表格1[ID],表格1[Dish])</f>
        <v>牛丼</v>
      </c>
      <c r="B209" s="1" t="s">
        <v>164</v>
      </c>
      <c r="C209" s="1" t="s">
        <v>329</v>
      </c>
      <c r="D209" s="1" t="s">
        <v>1181</v>
      </c>
      <c r="E209" s="23">
        <v>30</v>
      </c>
      <c r="F209" s="1" t="s">
        <v>243</v>
      </c>
    </row>
    <row r="210" spans="1:6" x14ac:dyDescent="0.4">
      <c r="A210" s="1" t="str">
        <f>_xlfn.XLOOKUP(B210,表格1[ID],表格1[Dish])</f>
        <v>牛丼</v>
      </c>
      <c r="B210" s="1" t="s">
        <v>164</v>
      </c>
      <c r="C210" s="1" t="s">
        <v>329</v>
      </c>
      <c r="D210" s="1" t="s">
        <v>233</v>
      </c>
      <c r="E210" s="23">
        <v>20</v>
      </c>
      <c r="F210" s="1" t="s">
        <v>243</v>
      </c>
    </row>
    <row r="211" spans="1:6" ht="17" x14ac:dyDescent="0.4">
      <c r="A211" s="1" t="str">
        <f>_xlfn.XLOOKUP(B211,表格1[ID],表格1[Dish])</f>
        <v>小青瓜炒肉末</v>
      </c>
      <c r="B211" s="1" t="s">
        <v>716</v>
      </c>
      <c r="C211" s="1" t="s">
        <v>328</v>
      </c>
      <c r="D211" s="1" t="s">
        <v>1189</v>
      </c>
      <c r="E211" s="23">
        <v>3</v>
      </c>
      <c r="F211" s="2" t="s">
        <v>316</v>
      </c>
    </row>
    <row r="212" spans="1:6" x14ac:dyDescent="0.4">
      <c r="A212" s="1" t="str">
        <f>_xlfn.XLOOKUP(B212,表格1[ID],表格1[Dish])</f>
        <v>小青瓜炒肉末</v>
      </c>
      <c r="B212" s="1" t="s">
        <v>716</v>
      </c>
      <c r="C212" s="1" t="s">
        <v>328</v>
      </c>
      <c r="D212" s="1" t="s">
        <v>1252</v>
      </c>
      <c r="E212" s="23">
        <v>200</v>
      </c>
      <c r="F212" s="1" t="s">
        <v>271</v>
      </c>
    </row>
    <row r="213" spans="1:6" ht="17" x14ac:dyDescent="0.4">
      <c r="A213" s="1" t="str">
        <f>_xlfn.XLOOKUP(B213,表格1[ID],表格1[Dish])</f>
        <v>小青瓜炒肉末</v>
      </c>
      <c r="B213" s="1" t="s">
        <v>716</v>
      </c>
      <c r="C213" s="1" t="s">
        <v>328</v>
      </c>
      <c r="D213" s="1" t="s">
        <v>334</v>
      </c>
      <c r="E213" s="23">
        <v>2</v>
      </c>
      <c r="F213" s="2" t="s">
        <v>1256</v>
      </c>
    </row>
    <row r="214" spans="1:6" ht="17" x14ac:dyDescent="0.4">
      <c r="A214" s="1" t="str">
        <f>_xlfn.XLOOKUP(B214,表格1[ID],表格1[Dish])</f>
        <v>小青瓜炒肉末</v>
      </c>
      <c r="B214" s="1" t="s">
        <v>716</v>
      </c>
      <c r="C214" s="1" t="s">
        <v>329</v>
      </c>
      <c r="D214" s="1" t="s">
        <v>1254</v>
      </c>
      <c r="E214" s="23">
        <v>2</v>
      </c>
      <c r="F214" s="2" t="s">
        <v>283</v>
      </c>
    </row>
    <row r="215" spans="1:6" ht="17" x14ac:dyDescent="0.4">
      <c r="A215" s="1" t="str">
        <f>_xlfn.XLOOKUP(B215,表格1[ID],表格1[Dish])</f>
        <v>小青瓜炒肉末</v>
      </c>
      <c r="B215" s="1" t="s">
        <v>716</v>
      </c>
      <c r="C215" s="1" t="s">
        <v>329</v>
      </c>
      <c r="D215" s="1" t="s">
        <v>430</v>
      </c>
      <c r="E215" s="23">
        <v>1</v>
      </c>
      <c r="F215" s="2" t="s">
        <v>244</v>
      </c>
    </row>
    <row r="216" spans="1:6" ht="17" x14ac:dyDescent="0.4">
      <c r="A216" s="1" t="str">
        <f>_xlfn.XLOOKUP(B216,表格1[ID],表格1[Dish])</f>
        <v>小青瓜炒肉末</v>
      </c>
      <c r="B216" s="1" t="s">
        <v>716</v>
      </c>
      <c r="C216" s="1" t="s">
        <v>329</v>
      </c>
      <c r="D216" s="1" t="s">
        <v>238</v>
      </c>
      <c r="E216" s="23">
        <v>1</v>
      </c>
      <c r="F216" s="2" t="s">
        <v>244</v>
      </c>
    </row>
    <row r="217" spans="1:6" x14ac:dyDescent="0.4">
      <c r="A217" s="1" t="str">
        <f>_xlfn.XLOOKUP(B217,表格1[ID],表格1[Dish])</f>
        <v>小青瓜炒肉末</v>
      </c>
      <c r="B217" s="1" t="s">
        <v>716</v>
      </c>
      <c r="C217" s="1" t="s">
        <v>329</v>
      </c>
      <c r="D217" s="1" t="s">
        <v>233</v>
      </c>
      <c r="E217" s="23">
        <v>90</v>
      </c>
      <c r="F217" s="1" t="s">
        <v>243</v>
      </c>
    </row>
    <row r="218" spans="1:6" ht="17" x14ac:dyDescent="0.4">
      <c r="A218" s="1" t="str">
        <f>_xlfn.XLOOKUP(B218,表格1[ID],表格1[Dish])</f>
        <v>烤挪威鹽漬鯖魚</v>
      </c>
      <c r="B218" s="1" t="s">
        <v>764</v>
      </c>
      <c r="C218" s="1" t="s">
        <v>328</v>
      </c>
      <c r="D218" s="1" t="s">
        <v>1265</v>
      </c>
      <c r="E218" s="23">
        <v>1</v>
      </c>
      <c r="F218" s="2" t="s">
        <v>316</v>
      </c>
    </row>
    <row r="219" spans="1:6" ht="17" x14ac:dyDescent="0.4">
      <c r="A219" s="1" t="str">
        <f>_xlfn.XLOOKUP(B219,表格1[ID],表格1[Dish])</f>
        <v>茭白筍炒蛋</v>
      </c>
      <c r="B219" s="1" t="s">
        <v>812</v>
      </c>
      <c r="C219" s="1" t="s">
        <v>328</v>
      </c>
      <c r="D219" s="1" t="s">
        <v>223</v>
      </c>
      <c r="E219" s="23">
        <v>2</v>
      </c>
      <c r="F219" s="2" t="s">
        <v>224</v>
      </c>
    </row>
    <row r="220" spans="1:6" ht="17" x14ac:dyDescent="0.4">
      <c r="A220" s="1" t="str">
        <f>_xlfn.XLOOKUP(B220,表格1[ID],表格1[Dish])</f>
        <v>茭白筍炒蛋</v>
      </c>
      <c r="B220" s="1" t="s">
        <v>812</v>
      </c>
      <c r="C220" s="1" t="s">
        <v>328</v>
      </c>
      <c r="D220" s="22" t="s">
        <v>1270</v>
      </c>
      <c r="E220" s="23">
        <v>1</v>
      </c>
      <c r="F220" s="2" t="s">
        <v>316</v>
      </c>
    </row>
    <row r="221" spans="1:6" ht="17" x14ac:dyDescent="0.4">
      <c r="A221" s="1" t="str">
        <f>_xlfn.XLOOKUP(B221,表格1[ID],表格1[Dish])</f>
        <v>茭白筍炒蛋</v>
      </c>
      <c r="B221" s="1" t="s">
        <v>812</v>
      </c>
      <c r="C221" s="1" t="s">
        <v>329</v>
      </c>
      <c r="D221" s="1" t="s">
        <v>233</v>
      </c>
      <c r="E221" s="27">
        <v>0.33333333333333331</v>
      </c>
      <c r="F221" s="2" t="s">
        <v>1271</v>
      </c>
    </row>
    <row r="222" spans="1:6" x14ac:dyDescent="0.4">
      <c r="A222" s="1" t="str">
        <f>_xlfn.XLOOKUP(B222,表格1[ID],表格1[Dish])</f>
        <v>茭白筍炒蛋</v>
      </c>
      <c r="B222" s="1" t="s">
        <v>812</v>
      </c>
      <c r="C222" s="1" t="s">
        <v>329</v>
      </c>
      <c r="D222" s="1" t="s">
        <v>236</v>
      </c>
      <c r="E222" s="23" t="s">
        <v>350</v>
      </c>
      <c r="F222" s="23" t="s">
        <v>351</v>
      </c>
    </row>
    <row r="223" spans="1:6" ht="17" x14ac:dyDescent="0.4">
      <c r="A223" s="1" t="str">
        <f>_xlfn.XLOOKUP(B223,表格1[ID],表格1[Dish])</f>
        <v>蘆筍甜椒鳯梨炒嫩雞</v>
      </c>
      <c r="B223" s="1" t="s">
        <v>746</v>
      </c>
      <c r="C223" s="2" t="s">
        <v>1273</v>
      </c>
      <c r="D223" s="1" t="s">
        <v>1107</v>
      </c>
      <c r="E223" s="23">
        <v>250</v>
      </c>
      <c r="F223" s="1" t="s">
        <v>271</v>
      </c>
    </row>
    <row r="224" spans="1:6" ht="17" x14ac:dyDescent="0.4">
      <c r="A224" s="1" t="str">
        <f>_xlfn.XLOOKUP(B224,表格1[ID],表格1[Dish])</f>
        <v>蘆筍甜椒鳯梨炒嫩雞</v>
      </c>
      <c r="B224" s="1" t="s">
        <v>746</v>
      </c>
      <c r="C224" s="2" t="s">
        <v>1273</v>
      </c>
      <c r="D224" s="22" t="s">
        <v>1274</v>
      </c>
      <c r="E224" s="23">
        <v>1</v>
      </c>
      <c r="F224" s="2" t="s">
        <v>1276</v>
      </c>
    </row>
    <row r="225" spans="1:6" ht="17" x14ac:dyDescent="0.4">
      <c r="A225" s="1" t="str">
        <f>_xlfn.XLOOKUP(B225,表格1[ID],表格1[Dish])</f>
        <v>蘆筍甜椒鳯梨炒嫩雞</v>
      </c>
      <c r="B225" s="1" t="s">
        <v>746</v>
      </c>
      <c r="C225" s="2" t="s">
        <v>1273</v>
      </c>
      <c r="D225" s="1" t="s">
        <v>1146</v>
      </c>
      <c r="E225" s="23">
        <v>1</v>
      </c>
      <c r="F225" s="2" t="s">
        <v>842</v>
      </c>
    </row>
    <row r="226" spans="1:6" ht="17" x14ac:dyDescent="0.4">
      <c r="A226" s="1" t="str">
        <f>_xlfn.XLOOKUP(B226,表格1[ID],表格1[Dish])</f>
        <v>蘆筍甜椒鳯梨炒嫩雞</v>
      </c>
      <c r="B226" s="1" t="s">
        <v>746</v>
      </c>
      <c r="C226" s="2" t="s">
        <v>1273</v>
      </c>
      <c r="D226" s="1" t="s">
        <v>403</v>
      </c>
      <c r="E226" s="23">
        <v>2</v>
      </c>
      <c r="F226" s="2" t="s">
        <v>1256</v>
      </c>
    </row>
    <row r="227" spans="1:6" ht="17" x14ac:dyDescent="0.4">
      <c r="A227" s="1" t="str">
        <f>_xlfn.XLOOKUP(B227,表格1[ID],表格1[Dish])</f>
        <v>蘆筍甜椒鳯梨炒嫩雞</v>
      </c>
      <c r="B227" s="1" t="s">
        <v>746</v>
      </c>
      <c r="C227" s="2" t="s">
        <v>1273</v>
      </c>
      <c r="D227" s="22" t="s">
        <v>1275</v>
      </c>
      <c r="E227" s="23" t="s">
        <v>350</v>
      </c>
      <c r="F227" s="1" t="s">
        <v>1277</v>
      </c>
    </row>
    <row r="228" spans="1:6" x14ac:dyDescent="0.4">
      <c r="A228" s="1" t="str">
        <f>_xlfn.XLOOKUP(B228,表格1[ID],表格1[Dish])</f>
        <v>蘆筍甜椒鳯梨炒嫩雞</v>
      </c>
      <c r="B228" s="1" t="s">
        <v>746</v>
      </c>
      <c r="C228" s="1" t="s">
        <v>329</v>
      </c>
      <c r="D228" s="6" t="s">
        <v>237</v>
      </c>
      <c r="E228" s="23" t="s">
        <v>350</v>
      </c>
      <c r="F228" s="23" t="s">
        <v>351</v>
      </c>
    </row>
    <row r="229" spans="1:6" ht="17" x14ac:dyDescent="0.4">
      <c r="A229" s="1" t="str">
        <f>_xlfn.XLOOKUP(B229,表格1[ID],表格1[Dish])</f>
        <v>蘆筍甜椒鳯梨炒嫩雞</v>
      </c>
      <c r="B229" s="1" t="s">
        <v>746</v>
      </c>
      <c r="C229" s="1" t="s">
        <v>329</v>
      </c>
      <c r="D229" s="1" t="s">
        <v>238</v>
      </c>
      <c r="E229" s="31">
        <v>0.5</v>
      </c>
      <c r="F229" s="2" t="s">
        <v>244</v>
      </c>
    </row>
    <row r="230" spans="1:6" ht="17" x14ac:dyDescent="0.4">
      <c r="A230" s="1" t="str">
        <f>_xlfn.XLOOKUP(B230,表格1[ID],表格1[Dish])</f>
        <v>蘆筍甜椒鳯梨炒嫩雞</v>
      </c>
      <c r="B230" s="1" t="s">
        <v>746</v>
      </c>
      <c r="C230" s="1" t="s">
        <v>1139</v>
      </c>
      <c r="D230" s="1" t="s">
        <v>430</v>
      </c>
      <c r="E230" s="23">
        <v>1</v>
      </c>
      <c r="F230" s="2" t="s">
        <v>283</v>
      </c>
    </row>
    <row r="231" spans="1:6" ht="17" x14ac:dyDescent="0.4">
      <c r="A231" s="1" t="str">
        <f>_xlfn.XLOOKUP(B231,表格1[ID],表格1[Dish])</f>
        <v>蘆筍甜椒鳯梨炒嫩雞</v>
      </c>
      <c r="B231" s="1" t="s">
        <v>746</v>
      </c>
      <c r="C231" s="1" t="s">
        <v>1139</v>
      </c>
      <c r="D231" s="1" t="s">
        <v>240</v>
      </c>
      <c r="E231" s="23">
        <v>1</v>
      </c>
      <c r="F231" s="2" t="s">
        <v>283</v>
      </c>
    </row>
    <row r="232" spans="1:6" ht="17" x14ac:dyDescent="0.4">
      <c r="A232" s="1" t="str">
        <f>_xlfn.XLOOKUP(B232,表格1[ID],表格1[Dish])</f>
        <v>蒜苗蘿蔔燉肉</v>
      </c>
      <c r="B232" s="1" t="s">
        <v>727</v>
      </c>
      <c r="C232" s="2" t="s">
        <v>1273</v>
      </c>
      <c r="D232" s="1" t="s">
        <v>1328</v>
      </c>
      <c r="E232" s="23">
        <v>600</v>
      </c>
      <c r="F232" s="1" t="s">
        <v>271</v>
      </c>
    </row>
    <row r="233" spans="1:6" ht="17" x14ac:dyDescent="0.4">
      <c r="A233" s="1" t="str">
        <f>_xlfn.XLOOKUP(B233,表格1[ID],表格1[Dish])</f>
        <v>蒜苗蘿蔔燉肉</v>
      </c>
      <c r="B233" s="1" t="s">
        <v>727</v>
      </c>
      <c r="C233" s="2" t="s">
        <v>1273</v>
      </c>
      <c r="D233" s="1" t="s">
        <v>1329</v>
      </c>
      <c r="E233" s="23">
        <v>1</v>
      </c>
      <c r="F233" s="2" t="s">
        <v>316</v>
      </c>
    </row>
    <row r="234" spans="1:6" ht="17" x14ac:dyDescent="0.4">
      <c r="A234" s="1" t="str">
        <f>_xlfn.XLOOKUP(B234,表格1[ID],表格1[Dish])</f>
        <v>蒜苗蘿蔔燉肉</v>
      </c>
      <c r="B234" s="1" t="s">
        <v>727</v>
      </c>
      <c r="C234" s="2" t="s">
        <v>1273</v>
      </c>
      <c r="D234" s="1" t="s">
        <v>1331</v>
      </c>
      <c r="E234" s="23">
        <v>2</v>
      </c>
      <c r="F234" s="2" t="s">
        <v>1333</v>
      </c>
    </row>
    <row r="235" spans="1:6" ht="17" x14ac:dyDescent="0.4">
      <c r="A235" s="1" t="str">
        <f>_xlfn.XLOOKUP(B235,表格1[ID],表格1[Dish])</f>
        <v>蒜苗蘿蔔燉肉</v>
      </c>
      <c r="B235" s="1" t="s">
        <v>727</v>
      </c>
      <c r="C235" s="2" t="s">
        <v>1273</v>
      </c>
      <c r="D235" s="1" t="s">
        <v>233</v>
      </c>
      <c r="E235" s="23">
        <v>600</v>
      </c>
      <c r="F235" s="1" t="s">
        <v>243</v>
      </c>
    </row>
    <row r="236" spans="1:6" ht="17" x14ac:dyDescent="0.4">
      <c r="A236" s="1" t="str">
        <f>_xlfn.XLOOKUP(B236,表格1[ID],表格1[Dish])</f>
        <v>蒜苗蘿蔔燉肉</v>
      </c>
      <c r="B236" s="1" t="s">
        <v>727</v>
      </c>
      <c r="C236" s="5" t="s">
        <v>1334</v>
      </c>
      <c r="D236" s="1" t="s">
        <v>430</v>
      </c>
      <c r="E236" s="23">
        <v>1</v>
      </c>
      <c r="F236" s="2" t="s">
        <v>283</v>
      </c>
    </row>
    <row r="237" spans="1:6" ht="17" x14ac:dyDescent="0.4">
      <c r="A237" s="1" t="str">
        <f>_xlfn.XLOOKUP(B237,表格1[ID],表格1[Dish])</f>
        <v>蒜苗蘿蔔燉肉</v>
      </c>
      <c r="B237" s="1" t="s">
        <v>727</v>
      </c>
      <c r="C237" s="5" t="s">
        <v>1334</v>
      </c>
      <c r="D237" s="1" t="s">
        <v>1152</v>
      </c>
      <c r="E237" s="23">
        <v>1</v>
      </c>
      <c r="F237" s="2" t="s">
        <v>283</v>
      </c>
    </row>
    <row r="238" spans="1:6" ht="17" x14ac:dyDescent="0.4">
      <c r="A238" s="1" t="str">
        <f>_xlfn.XLOOKUP(B238,表格1[ID],表格1[Dish])</f>
        <v>蒜苗蘿蔔燉肉</v>
      </c>
      <c r="B238" s="1" t="s">
        <v>727</v>
      </c>
      <c r="C238" s="5" t="s">
        <v>1334</v>
      </c>
      <c r="D238" s="1" t="s">
        <v>864</v>
      </c>
      <c r="E238" s="23">
        <v>1</v>
      </c>
      <c r="F238" s="2" t="s">
        <v>283</v>
      </c>
    </row>
    <row r="239" spans="1:6" ht="17" x14ac:dyDescent="0.4">
      <c r="A239" s="1" t="str">
        <f>_xlfn.XLOOKUP(B239,表格1[ID],表格1[Dish])</f>
        <v>蒜苗蘿蔔燉肉</v>
      </c>
      <c r="B239" s="1" t="s">
        <v>727</v>
      </c>
      <c r="C239" s="5" t="s">
        <v>1334</v>
      </c>
      <c r="D239" s="1" t="s">
        <v>238</v>
      </c>
      <c r="E239" s="23">
        <v>1</v>
      </c>
      <c r="F239" s="2" t="s">
        <v>244</v>
      </c>
    </row>
    <row r="240" spans="1:6" ht="17" x14ac:dyDescent="0.4">
      <c r="A240" s="1" t="str">
        <f>_xlfn.XLOOKUP(B240,表格1[ID],表格1[Dish])</f>
        <v>蒜苗蘿蔔燉肉</v>
      </c>
      <c r="B240" s="1" t="s">
        <v>727</v>
      </c>
      <c r="C240" s="5" t="s">
        <v>1335</v>
      </c>
      <c r="D240" s="1" t="s">
        <v>430</v>
      </c>
      <c r="E240" s="23">
        <v>1</v>
      </c>
      <c r="F240" s="2" t="s">
        <v>283</v>
      </c>
    </row>
    <row r="241" spans="1:6" ht="17" x14ac:dyDescent="0.4">
      <c r="A241" s="1" t="str">
        <f>_xlfn.XLOOKUP(B241,表格1[ID],表格1[Dish])</f>
        <v>蒜苗蘿蔔燉肉</v>
      </c>
      <c r="B241" s="1" t="s">
        <v>727</v>
      </c>
      <c r="C241" s="5" t="s">
        <v>1335</v>
      </c>
      <c r="D241" s="1" t="s">
        <v>1152</v>
      </c>
      <c r="E241" s="23">
        <v>3</v>
      </c>
      <c r="F241" s="2" t="s">
        <v>283</v>
      </c>
    </row>
    <row r="242" spans="1:6" ht="17" x14ac:dyDescent="0.4">
      <c r="A242" s="1" t="str">
        <f>_xlfn.XLOOKUP(B242,表格1[ID],表格1[Dish])</f>
        <v>蝦仁炒蛋</v>
      </c>
      <c r="B242" s="1" t="s">
        <v>813</v>
      </c>
      <c r="C242" s="2" t="s">
        <v>1273</v>
      </c>
      <c r="D242" s="1" t="s">
        <v>2319</v>
      </c>
      <c r="E242" s="23">
        <v>100</v>
      </c>
      <c r="F242" s="1" t="s">
        <v>271</v>
      </c>
    </row>
    <row r="243" spans="1:6" ht="17" x14ac:dyDescent="0.4">
      <c r="A243" s="1" t="str">
        <f>_xlfn.XLOOKUP(B243,表格1[ID],表格1[Dish])</f>
        <v>蝦仁炒蛋</v>
      </c>
      <c r="B243" s="1" t="s">
        <v>813</v>
      </c>
      <c r="C243" s="2" t="s">
        <v>1273</v>
      </c>
      <c r="D243" s="1" t="s">
        <v>223</v>
      </c>
      <c r="E243" s="23">
        <v>3</v>
      </c>
      <c r="F243" s="2" t="s">
        <v>224</v>
      </c>
    </row>
    <row r="244" spans="1:6" ht="17" x14ac:dyDescent="0.4">
      <c r="A244" s="1" t="str">
        <f>_xlfn.XLOOKUP(B244,表格1[ID],表格1[Dish])</f>
        <v>蝦仁炒蛋</v>
      </c>
      <c r="B244" s="1" t="s">
        <v>813</v>
      </c>
      <c r="C244" s="5" t="s">
        <v>1334</v>
      </c>
      <c r="D244" s="1" t="s">
        <v>334</v>
      </c>
      <c r="E244" s="23">
        <v>1</v>
      </c>
      <c r="F244" s="2" t="s">
        <v>244</v>
      </c>
    </row>
    <row r="245" spans="1:6" x14ac:dyDescent="0.4">
      <c r="A245" s="1" t="str">
        <f>_xlfn.XLOOKUP(B245,表格1[ID],表格1[Dish])</f>
        <v>蝦仁炒蛋</v>
      </c>
      <c r="B245" s="1" t="s">
        <v>813</v>
      </c>
      <c r="C245" s="5" t="s">
        <v>1334</v>
      </c>
      <c r="D245" s="1" t="s">
        <v>236</v>
      </c>
      <c r="E245" s="23" t="s">
        <v>350</v>
      </c>
      <c r="F245" s="23" t="s">
        <v>351</v>
      </c>
    </row>
    <row r="246" spans="1:6" ht="17" x14ac:dyDescent="0.4">
      <c r="A246" s="1" t="str">
        <f>_xlfn.XLOOKUP(B246,表格1[ID],表格1[Dish])</f>
        <v>蝦仁炒蛋</v>
      </c>
      <c r="B246" s="1" t="s">
        <v>813</v>
      </c>
      <c r="C246" s="1" t="s">
        <v>2321</v>
      </c>
      <c r="D246" s="1" t="s">
        <v>430</v>
      </c>
      <c r="E246" s="23">
        <v>1</v>
      </c>
      <c r="F246" s="2" t="s">
        <v>244</v>
      </c>
    </row>
    <row r="247" spans="1:6" ht="17" x14ac:dyDescent="0.4">
      <c r="A247" s="1" t="str">
        <f>_xlfn.XLOOKUP(B247,表格1[ID],表格1[Dish])</f>
        <v>蝦仁炒蛋</v>
      </c>
      <c r="B247" s="1" t="s">
        <v>813</v>
      </c>
      <c r="C247" s="1" t="s">
        <v>2321</v>
      </c>
      <c r="D247" s="6" t="s">
        <v>2322</v>
      </c>
      <c r="E247" s="23">
        <v>1</v>
      </c>
      <c r="F247" s="2" t="s">
        <v>1276</v>
      </c>
    </row>
    <row r="248" spans="1:6" ht="17" x14ac:dyDescent="0.4">
      <c r="A248" s="1" t="str">
        <f>_xlfn.XLOOKUP(B248,表格1[ID],表格1[Dish])</f>
        <v>冬瓜肉燥</v>
      </c>
      <c r="B248" s="1" t="s">
        <v>717</v>
      </c>
      <c r="C248" s="2" t="s">
        <v>1273</v>
      </c>
      <c r="D248" s="1" t="s">
        <v>1252</v>
      </c>
      <c r="E248" s="23">
        <v>200</v>
      </c>
      <c r="F248" s="1" t="s">
        <v>271</v>
      </c>
    </row>
    <row r="249" spans="1:6" ht="17" x14ac:dyDescent="0.4">
      <c r="A249" s="1" t="str">
        <f>_xlfn.XLOOKUP(B249,表格1[ID],表格1[Dish])</f>
        <v>冬瓜肉燥</v>
      </c>
      <c r="B249" s="1" t="s">
        <v>717</v>
      </c>
      <c r="C249" s="2" t="s">
        <v>1273</v>
      </c>
      <c r="D249" s="1" t="s">
        <v>2328</v>
      </c>
      <c r="E249" s="23">
        <v>1</v>
      </c>
      <c r="F249" s="2" t="s">
        <v>2336</v>
      </c>
    </row>
    <row r="250" spans="1:6" ht="17" x14ac:dyDescent="0.4">
      <c r="A250" s="1" t="str">
        <f>_xlfn.XLOOKUP(B250,表格1[ID],表格1[Dish])</f>
        <v>冬瓜肉燥</v>
      </c>
      <c r="B250" s="1" t="s">
        <v>717</v>
      </c>
      <c r="C250" s="2" t="s">
        <v>1273</v>
      </c>
      <c r="D250" s="1" t="s">
        <v>2330</v>
      </c>
      <c r="E250" s="23">
        <v>3</v>
      </c>
      <c r="F250" s="2" t="s">
        <v>2337</v>
      </c>
    </row>
    <row r="251" spans="1:6" ht="17" x14ac:dyDescent="0.4">
      <c r="A251" s="1" t="str">
        <f>_xlfn.XLOOKUP(B251,表格1[ID],表格1[Dish])</f>
        <v>冬瓜肉燥</v>
      </c>
      <c r="B251" s="1" t="s">
        <v>717</v>
      </c>
      <c r="C251" s="1" t="s">
        <v>329</v>
      </c>
      <c r="D251" s="1" t="s">
        <v>430</v>
      </c>
      <c r="E251" s="23">
        <v>2</v>
      </c>
      <c r="F251" s="2" t="s">
        <v>283</v>
      </c>
    </row>
    <row r="252" spans="1:6" ht="17" x14ac:dyDescent="0.4">
      <c r="A252" s="1" t="str">
        <f>_xlfn.XLOOKUP(B252,表格1[ID],表格1[Dish])</f>
        <v>冬瓜肉燥</v>
      </c>
      <c r="B252" s="1" t="s">
        <v>717</v>
      </c>
      <c r="C252" s="1" t="s">
        <v>329</v>
      </c>
      <c r="D252" s="1" t="s">
        <v>2334</v>
      </c>
      <c r="E252" s="23">
        <v>1</v>
      </c>
      <c r="F252" s="2" t="s">
        <v>244</v>
      </c>
    </row>
    <row r="253" spans="1:6" ht="17" x14ac:dyDescent="0.4">
      <c r="A253" s="1" t="str">
        <f>_xlfn.XLOOKUP(B253,表格1[ID],表格1[Dish])</f>
        <v>冬瓜肉燥</v>
      </c>
      <c r="B253" s="1" t="s">
        <v>717</v>
      </c>
      <c r="C253" s="1" t="s">
        <v>329</v>
      </c>
      <c r="D253" s="1" t="s">
        <v>2332</v>
      </c>
      <c r="E253" s="23">
        <v>1</v>
      </c>
      <c r="F253" s="2" t="s">
        <v>2338</v>
      </c>
    </row>
    <row r="254" spans="1:6" x14ac:dyDescent="0.4">
      <c r="A254" s="1" t="str">
        <f>_xlfn.XLOOKUP(B254,表格1[ID],表格1[Dish])</f>
        <v>冬瓜肉燥</v>
      </c>
      <c r="B254" s="1" t="s">
        <v>717</v>
      </c>
      <c r="C254" s="1" t="s">
        <v>1273</v>
      </c>
      <c r="D254" s="1" t="s">
        <v>233</v>
      </c>
      <c r="E254" s="23">
        <v>300</v>
      </c>
      <c r="F254" s="1" t="s">
        <v>271</v>
      </c>
    </row>
    <row r="255" spans="1:6" ht="17" x14ac:dyDescent="0.4">
      <c r="A255" s="45" t="str">
        <f>_xlfn.XLOOKUP(B255,表格1[ID],表格1[Dish])</f>
        <v>笛子卷餅</v>
      </c>
      <c r="B255" s="1" t="s">
        <v>194</v>
      </c>
      <c r="C255" s="2" t="s">
        <v>1273</v>
      </c>
      <c r="D255" s="1" t="s">
        <v>869</v>
      </c>
      <c r="E255" s="31">
        <v>0.5</v>
      </c>
      <c r="F255" s="2" t="s">
        <v>2340</v>
      </c>
    </row>
    <row r="256" spans="1:6" ht="17" x14ac:dyDescent="0.4">
      <c r="A256" s="45" t="str">
        <f>_xlfn.XLOOKUP(B256,表格1[ID],表格1[Dish])</f>
        <v>笛子卷餅</v>
      </c>
      <c r="B256" s="1" t="s">
        <v>194</v>
      </c>
      <c r="C256" s="1" t="s">
        <v>329</v>
      </c>
      <c r="D256" s="1" t="s">
        <v>2341</v>
      </c>
      <c r="E256" s="27">
        <v>0.75</v>
      </c>
      <c r="F256" s="2" t="s">
        <v>244</v>
      </c>
    </row>
    <row r="257" spans="1:6" ht="17" x14ac:dyDescent="0.4">
      <c r="A257" s="45" t="str">
        <f>_xlfn.XLOOKUP(B257,表格1[ID],表格1[Dish])</f>
        <v>笛子卷餅</v>
      </c>
      <c r="B257" s="1" t="s">
        <v>194</v>
      </c>
      <c r="C257" s="1" t="s">
        <v>329</v>
      </c>
      <c r="D257" s="1" t="s">
        <v>403</v>
      </c>
      <c r="E257" s="23">
        <v>5</v>
      </c>
      <c r="F257" s="2" t="s">
        <v>1256</v>
      </c>
    </row>
    <row r="258" spans="1:6" ht="17" x14ac:dyDescent="0.4">
      <c r="A258" s="45" t="str">
        <f>_xlfn.XLOOKUP(B258,表格1[ID],表格1[Dish])</f>
        <v>笛子卷餅</v>
      </c>
      <c r="B258" s="1" t="s">
        <v>194</v>
      </c>
      <c r="C258" s="2" t="s">
        <v>1273</v>
      </c>
      <c r="D258" s="1" t="s">
        <v>2350</v>
      </c>
      <c r="E258" s="23">
        <v>1</v>
      </c>
      <c r="F258" s="2" t="s">
        <v>2353</v>
      </c>
    </row>
    <row r="259" spans="1:6" ht="17" x14ac:dyDescent="0.4">
      <c r="A259" s="45" t="str">
        <f>_xlfn.XLOOKUP(B259,表格1[ID],表格1[Dish])</f>
        <v>笛子卷餅</v>
      </c>
      <c r="B259" s="1" t="s">
        <v>194</v>
      </c>
      <c r="C259" s="2" t="s">
        <v>1273</v>
      </c>
      <c r="D259" s="1" t="s">
        <v>1164</v>
      </c>
      <c r="E259" s="23">
        <v>1</v>
      </c>
      <c r="F259" s="2" t="s">
        <v>1271</v>
      </c>
    </row>
    <row r="260" spans="1:6" ht="17" x14ac:dyDescent="0.4">
      <c r="A260" s="45" t="str">
        <f>_xlfn.XLOOKUP(B260,表格1[ID],表格1[Dish])</f>
        <v>笛子卷餅</v>
      </c>
      <c r="B260" s="1" t="s">
        <v>194</v>
      </c>
      <c r="C260" s="1" t="s">
        <v>329</v>
      </c>
      <c r="D260" s="1" t="s">
        <v>2347</v>
      </c>
      <c r="E260" s="23">
        <v>2</v>
      </c>
      <c r="F260" s="2" t="s">
        <v>244</v>
      </c>
    </row>
    <row r="261" spans="1:6" ht="17" x14ac:dyDescent="0.4">
      <c r="A261" s="45" t="str">
        <f>_xlfn.XLOOKUP(B261,表格1[ID],表格1[Dish])</f>
        <v>笛子卷餅</v>
      </c>
      <c r="B261" s="1" t="s">
        <v>194</v>
      </c>
      <c r="C261" s="1" t="s">
        <v>329</v>
      </c>
      <c r="D261" s="1" t="s">
        <v>236</v>
      </c>
      <c r="E261" s="31">
        <v>0.5</v>
      </c>
      <c r="F261" s="2" t="s">
        <v>244</v>
      </c>
    </row>
    <row r="262" spans="1:6" ht="17" x14ac:dyDescent="0.4">
      <c r="A262" s="45" t="str">
        <f>_xlfn.XLOOKUP(B262,表格1[ID],表格1[Dish])</f>
        <v>笛子卷餅</v>
      </c>
      <c r="B262" s="1" t="s">
        <v>194</v>
      </c>
      <c r="C262" s="2" t="s">
        <v>1273</v>
      </c>
      <c r="D262" s="1" t="s">
        <v>2345</v>
      </c>
      <c r="E262" s="23">
        <v>3</v>
      </c>
      <c r="F262" s="2" t="s">
        <v>1271</v>
      </c>
    </row>
    <row r="263" spans="1:6" ht="17" x14ac:dyDescent="0.4">
      <c r="A263" s="45" t="str">
        <f>_xlfn.XLOOKUP(B263,表格1[ID],表格1[Dish])</f>
        <v>笛子卷餅</v>
      </c>
      <c r="B263" s="1" t="s">
        <v>194</v>
      </c>
      <c r="C263" s="1" t="s">
        <v>329</v>
      </c>
      <c r="D263" s="1" t="s">
        <v>2343</v>
      </c>
      <c r="E263" s="23">
        <v>1</v>
      </c>
      <c r="F263" s="2" t="s">
        <v>283</v>
      </c>
    </row>
  </sheetData>
  <phoneticPr fontId="2" type="noConversion"/>
  <pageMargins left="0.7" right="0.7" top="0.75" bottom="0.75" header="0.3" footer="0.3"/>
  <legacyDrawing r:id="rId1"/>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294A8E99-0786-4C0C-BDAA-C2E4BEB200D7}">
          <x14:formula1>
            <xm:f>材料庫!$A:$A</xm:f>
          </x14:formula1>
          <xm:sqref>D1:D175 D179:D1048576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047E3D-8CBE-4470-86D8-478F6834C272}">
  <dimension ref="A1:G128"/>
  <sheetViews>
    <sheetView topLeftCell="D117" workbookViewId="0">
      <selection activeCell="E130" sqref="E130"/>
    </sheetView>
  </sheetViews>
  <sheetFormatPr defaultRowHeight="15.5" x14ac:dyDescent="0.4"/>
  <cols>
    <col min="1" max="1" width="21.81640625" style="1" bestFit="1" customWidth="1"/>
    <col min="2" max="3" width="8.7265625" style="1"/>
    <col min="4" max="4" width="97.1796875" style="1" bestFit="1" customWidth="1"/>
    <col min="5" max="5" width="57.54296875" style="1" customWidth="1"/>
    <col min="6" max="6" width="53.6328125" style="1" customWidth="1"/>
    <col min="7" max="7" width="56.54296875" style="1" customWidth="1"/>
    <col min="8" max="16384" width="8.7265625" style="1"/>
  </cols>
  <sheetData>
    <row r="1" spans="1:7" ht="17" x14ac:dyDescent="0.4">
      <c r="A1" s="21" t="s">
        <v>853</v>
      </c>
      <c r="B1" s="8" t="s">
        <v>258</v>
      </c>
      <c r="C1" s="8" t="s">
        <v>272</v>
      </c>
      <c r="D1" s="8" t="s">
        <v>273</v>
      </c>
      <c r="E1" s="8" t="s">
        <v>850</v>
      </c>
      <c r="F1" s="8" t="s">
        <v>851</v>
      </c>
      <c r="G1" s="8" t="s">
        <v>852</v>
      </c>
    </row>
    <row r="2" spans="1:7" ht="17" x14ac:dyDescent="0.4">
      <c r="A2" s="20" t="str">
        <f>_xlfn.XLOOKUP(B2,表格1[ID],表格1[Dish])</f>
        <v>椰青木瓜果凍</v>
      </c>
      <c r="B2" s="1" t="s">
        <v>213</v>
      </c>
      <c r="C2" s="1">
        <v>1</v>
      </c>
      <c r="D2" s="1" t="s">
        <v>274</v>
      </c>
      <c r="E2" s="1" t="str">
        <f>_xlfn.TRANSLATE(Steps[[#This Row],[內容]],"zh-cht","en")</f>
        <v>Cut the papaya in half, remove the seeds in the middle, and make a papaya cup</v>
      </c>
      <c r="F2" s="1" t="str">
        <f>_xlfn.TRANSLATE(Steps[[#This Row],[內容]],"zh-cht","fil")</f>
        <v>Hatiin ang papaya sa gitna, alisin ang mga buto sa gitna, at gumawa ng tasa ng papaya</v>
      </c>
      <c r="G2" s="1" t="str">
        <f>_xlfn.TRANSLATE(Steps[[#This Row],[內容]],"zh-cht","id")</f>
        <v>Belah pepaya menjadi dua, keluarkan biji di tengah, dan buat cangkir pepaya</v>
      </c>
    </row>
    <row r="3" spans="1:7" ht="17" x14ac:dyDescent="0.4">
      <c r="A3" s="20" t="str">
        <f>_xlfn.XLOOKUP(B3,表格1[ID],表格1[Dish])</f>
        <v>椰青木瓜果凍</v>
      </c>
      <c r="B3" s="1" t="s">
        <v>213</v>
      </c>
      <c r="C3" s="1">
        <v>2</v>
      </c>
      <c r="D3" s="1" t="s">
        <v>360</v>
      </c>
      <c r="E3" s="1" t="str">
        <f>_xlfn.TRANSLATE(Steps[[#This Row],[內容]],"zh-cht","en")</f>
        <v>Mix the coconut water, coconut milk, milk, and sugar, add the vegetable powder, cook until the sugar dissolves, then let cool</v>
      </c>
      <c r="F3" s="1" t="str">
        <f>_xlfn.TRANSLATE(Steps[[#This Row],[內容]],"zh-cht","fil")</f>
        <v>Haluin ang tubig ng niyog, gatas ng niyog, gatas, at asukal, idagdag ang pulbos ng gulay, lutuin hanggang matunaw ang asukal, pagkatapos ay palamigin</v>
      </c>
      <c r="G3" s="1" t="str">
        <f>_xlfn.TRANSLATE(Steps[[#This Row],[內容]],"zh-cht","id")</f>
        <v>Campur air kelapa, santan, susu, dan gula, tambahkan bubuk sayuran, masak sampai gula larut, lalu biarkan dingin</v>
      </c>
    </row>
    <row r="4" spans="1:7" ht="17" x14ac:dyDescent="0.4">
      <c r="A4" s="20" t="str">
        <f>_xlfn.XLOOKUP(B4,表格1[ID],表格1[Dish])</f>
        <v>椰青木瓜果凍</v>
      </c>
      <c r="B4" s="1" t="s">
        <v>213</v>
      </c>
      <c r="C4" s="1">
        <v>3</v>
      </c>
      <c r="D4" s="1" t="s">
        <v>361</v>
      </c>
      <c r="E4" s="1" t="str">
        <f>_xlfn.TRANSLATE(Steps[[#This Row],[內容]],"zh-cht","en")</f>
        <v>Pour into a papaya cup and refrigerate until set</v>
      </c>
      <c r="F4" s="1" t="str">
        <f>_xlfn.TRANSLATE(Steps[[#This Row],[內容]],"zh-cht","fil")</f>
        <v>Ibuhos sa isang tasa ng papaya at ilagay sa refrigerator hanggang tumigas</v>
      </c>
      <c r="G4" s="1" t="str">
        <f>_xlfn.TRANSLATE(Steps[[#This Row],[內容]],"zh-cht","id")</f>
        <v>Tuang ke dalam cangkir pepaya dan simpan di kulkas hingga mengeras</v>
      </c>
    </row>
    <row r="5" spans="1:7" ht="17" x14ac:dyDescent="0.4">
      <c r="A5" s="20" t="str">
        <f>_xlfn.XLOOKUP(B5,表格1[ID],表格1[Dish])</f>
        <v>椰青木瓜果凍</v>
      </c>
      <c r="B5" s="1" t="s">
        <v>213</v>
      </c>
      <c r="C5" s="1">
        <v>4</v>
      </c>
      <c r="D5" s="1" t="s">
        <v>362</v>
      </c>
      <c r="E5" s="1" t="str">
        <f>_xlfn.TRANSLATE(Steps[[#This Row],[內容]],"zh-cht","en")</f>
        <v>When eating, just cut it into small pieces</v>
      </c>
      <c r="F5" s="1" t="str">
        <f>_xlfn.TRANSLATE(Steps[[#This Row],[內容]],"zh-cht","fil")</f>
        <v>Kapag kumakain, hiwain lang ito sa maliliit na piraso</v>
      </c>
      <c r="G5" s="1" t="str">
        <f>_xlfn.TRANSLATE(Steps[[#This Row],[內容]],"zh-cht","id")</f>
        <v>Saat makan, cukup potong menjadi potongan kecil</v>
      </c>
    </row>
    <row r="6" spans="1:7" ht="17" x14ac:dyDescent="0.4">
      <c r="A6" s="20" t="str">
        <f>_xlfn.XLOOKUP(B6,表格1[ID],表格1[Dish])</f>
        <v>紫薯布甸</v>
      </c>
      <c r="B6" s="1" t="s">
        <v>205</v>
      </c>
      <c r="C6" s="1">
        <v>1</v>
      </c>
      <c r="D6" s="1" t="s">
        <v>284</v>
      </c>
      <c r="E6" s="1" t="str">
        <f>_xlfn.TRANSLATE(Steps[[#This Row],[內容]],"zh-cht","en")</f>
        <v>Steam, peel the purple-fleshed sweet potatoes, and mash them with a knife</v>
      </c>
      <c r="F6" s="1" t="str">
        <f>_xlfn.TRANSLATE(Steps[[#This Row],[內容]],"zh-cht","fil")</f>
        <v>I-steam, balatan ang mga kamote na may lila na laman, at durugin gamit ang kutsilyo</v>
      </c>
      <c r="G6" s="1" t="str">
        <f>_xlfn.TRANSLATE(Steps[[#This Row],[內容]],"zh-cht","id")</f>
        <v>Kukus, kupas ubi jalar berisi ungu, lalu tumbuk dengan pisau</v>
      </c>
    </row>
    <row r="7" spans="1:7" ht="17" x14ac:dyDescent="0.4">
      <c r="A7" s="20" t="str">
        <f>_xlfn.XLOOKUP(B7,表格1[ID],表格1[Dish])</f>
        <v>紫薯布甸</v>
      </c>
      <c r="B7" s="1" t="s">
        <v>205</v>
      </c>
      <c r="C7" s="1">
        <v>2</v>
      </c>
      <c r="D7" s="1" t="s">
        <v>363</v>
      </c>
      <c r="E7" s="1" t="str">
        <f>_xlfn.TRANSLATE(Steps[[#This Row],[內容]],"zh-cht","en")</f>
        <v>Add 150ML of milk to the purple sweet potato puree, then put it in a blender and mix well</v>
      </c>
      <c r="F7" s="1" t="str">
        <f>_xlfn.TRANSLATE(Steps[[#This Row],[內容]],"zh-cht","fil")</f>
        <v>Idagdag ang 150ML ng gatas sa purple sweet potato puree, pagkatapos ilagay sa blender at haluin nang mabuti</v>
      </c>
      <c r="G7" s="1" t="str">
        <f>_xlfn.TRANSLATE(Steps[[#This Row],[內容]],"zh-cht","id")</f>
        <v>Tambahkan 150ML susu ke pure ubi jalar ungu, lalu masukkan ke blender dan aduk rata</v>
      </c>
    </row>
    <row r="8" spans="1:7" ht="17" x14ac:dyDescent="0.4">
      <c r="A8" s="20" t="str">
        <f>_xlfn.XLOOKUP(B8,表格1[ID],表格1[Dish])</f>
        <v>紫薯布甸</v>
      </c>
      <c r="B8" s="1" t="s">
        <v>205</v>
      </c>
      <c r="C8" s="1">
        <v>3</v>
      </c>
      <c r="D8" s="1" t="s">
        <v>285</v>
      </c>
      <c r="E8" s="1" t="str">
        <f>_xlfn.TRANSLATE(Steps[[#This Row],[內容]],"zh-cht","en")</f>
        <v>Put the remaining milk and cream into a pot and heat over low heat, then add sugar and konjac powder, stirring slowly until completely dissolved</v>
      </c>
      <c r="F8" s="1" t="str">
        <f>_xlfn.TRANSLATE(Steps[[#This Row],[內容]],"zh-cht","fil")</f>
        <v>Ilagay ang natitirang gatas at cream sa palayok at painitin sa mababang init, pagkatapos ay magdagdag ng asukal at konjac powder, dahan-dahang haluin hanggang tuluyang matunaw</v>
      </c>
      <c r="G8" s="1" t="str">
        <f>_xlfn.TRANSLATE(Steps[[#This Row],[內容]],"zh-cht","id")</f>
        <v>Masukkan sisa susu dan krim ke dalam panci dan panaskan dengan api kecil, lalu tambahkan gula dan bubuk konjac, aduk perlahan hingga benar-benar larut</v>
      </c>
    </row>
    <row r="9" spans="1:7" ht="17" x14ac:dyDescent="0.4">
      <c r="A9" s="20" t="str">
        <f>_xlfn.XLOOKUP(B9,表格1[ID],表格1[Dish])</f>
        <v>紫薯布甸</v>
      </c>
      <c r="B9" s="1" t="s">
        <v>205</v>
      </c>
      <c r="C9" s="1">
        <v>4</v>
      </c>
      <c r="D9" s="1" t="s">
        <v>364</v>
      </c>
      <c r="E9" s="1" t="str">
        <f>_xlfn.TRANSLATE(Steps[[#This Row],[內容]],"zh-cht","en")</f>
        <v>After dissolving, gradually add small amounts into the purple sweet potato puree until evenly combined</v>
      </c>
      <c r="F9" s="1" t="str">
        <f>_xlfn.TRANSLATE(Steps[[#This Row],[內容]],"zh-cht","fil")</f>
        <v>Pagkatapos matunaw, dahan-dahang idagdag ang kaunting dami sa purple sweet potato puree hanggang pantay-pantay ang paghahalo</v>
      </c>
      <c r="G9" s="1" t="str">
        <f>_xlfn.TRANSLATE(Steps[[#This Row],[內容]],"zh-cht","id")</f>
        <v>Setelah larut, tambahkan sedikit ke dalam puree ubi jalar ungu hingga tercampur rata</v>
      </c>
    </row>
    <row r="10" spans="1:7" ht="17" x14ac:dyDescent="0.4">
      <c r="A10" s="20" t="str">
        <f>_xlfn.XLOOKUP(B10,表格1[ID],表格1[Dish])</f>
        <v>紫薯布甸</v>
      </c>
      <c r="B10" s="1" t="s">
        <v>205</v>
      </c>
      <c r="C10" s="1">
        <v>5</v>
      </c>
      <c r="D10" s="1" t="s">
        <v>365</v>
      </c>
      <c r="E10" s="1" t="str">
        <f>_xlfn.TRANSLATE(Steps[[#This Row],[內容]],"zh-cht","en")</f>
        <v>Finally, pour it into a pudding cup, close the lid, and refrigerate until set</v>
      </c>
      <c r="F10" s="1" t="str">
        <f>_xlfn.TRANSLATE(Steps[[#This Row],[內容]],"zh-cht","fil")</f>
        <v>Sa huli, ibuhos ito sa pudding cup, isara ang takip, at ilagay sa refrigerator hanggang tumigas</v>
      </c>
      <c r="G10" s="1" t="str">
        <f>_xlfn.TRANSLATE(Steps[[#This Row],[內容]],"zh-cht","id")</f>
        <v>Terakhir, tuangkan ke dalam cangkir puding, tutup tutupnya, dan simpan di kulkas hingga mengeras</v>
      </c>
    </row>
    <row r="11" spans="1:7" ht="17" x14ac:dyDescent="0.4">
      <c r="A11" s="20" t="str">
        <f>_xlfn.XLOOKUP(B11,表格1[ID],表格1[Dish])</f>
        <v>焗葡汁白菌豆腐飯</v>
      </c>
      <c r="B11" s="1" t="s">
        <v>204</v>
      </c>
      <c r="C11" s="1">
        <v>1</v>
      </c>
      <c r="D11" s="1" t="s">
        <v>366</v>
      </c>
      <c r="E11" s="1" t="str">
        <f>_xlfn.TRANSLATE(Steps[[#This Row],[內容]],"zh-cht","en")</f>
        <v>Cut the tofu into cubes, fry until golden brown, then set aside</v>
      </c>
      <c r="F11" s="1" t="str">
        <f>_xlfn.TRANSLATE(Steps[[#This Row],[內容]],"zh-cht","fil")</f>
        <v>Hiwain ang tofu sa mga cube, igisa hanggang maging golden brown, pagkatapos ay itabi</v>
      </c>
      <c r="G11" s="1" t="str">
        <f>_xlfn.TRANSLATE(Steps[[#This Row],[內容]],"zh-cht","id")</f>
        <v>Potong tahu menjadi dadu dadu, goreng hingga keemasan, lalu sisihkan</v>
      </c>
    </row>
    <row r="12" spans="1:7" ht="17" x14ac:dyDescent="0.4">
      <c r="A12" s="20" t="str">
        <f>_xlfn.XLOOKUP(B12,表格1[ID],表格1[Dish])</f>
        <v>焗葡汁白菌豆腐飯</v>
      </c>
      <c r="B12" s="1" t="s">
        <v>204</v>
      </c>
      <c r="C12" s="1">
        <v>2</v>
      </c>
      <c r="D12" s="1" t="s">
        <v>367</v>
      </c>
      <c r="E12" s="1" t="str">
        <f>_xlfn.TRANSLATE(Steps[[#This Row],[內容]],"zh-cht","en")</f>
        <v>Heat a wok over medium heat, add butter, and once melted, add turmeric powder and curry powder and stir-fry until fragrant. Add the superior broth, bring to a boil, then add milk and cream, season with salt and sugar</v>
      </c>
      <c r="F12" s="1" t="str">
        <f>_xlfn.TRANSLATE(Steps[[#This Row],[內容]],"zh-cht","fil")</f>
        <v>Painitin ang wok sa katamtamang init, magdagdag ng mantikilya, at kapag natunaw, idagdag ang turmeric powder at curry powder at igisa hanggang mabango. Idagdag ang superior na sabaw, pakuluan, pagkatapos ay magdagdag ng gatas at cream, timplahan ng asin at asukal</v>
      </c>
      <c r="G12" s="1" t="str">
        <f>_xlfn.TRANSLATE(Steps[[#This Row],[內容]],"zh-cht","id")</f>
        <v>Panaskan wajan di atas api sedang, tambahkan mentega, dan setelah meleleh, tambahkan bubuk kunyit dan bubuk kari lalu tumis hingga harum. Tambahkan kaldu superior, didihkan, lalu tambahkan susu dan krim, bumbui dengan garam dan gula</v>
      </c>
    </row>
    <row r="13" spans="1:7" ht="17" x14ac:dyDescent="0.4">
      <c r="A13" s="20" t="str">
        <f>_xlfn.XLOOKUP(B13,表格1[ID],表格1[Dish])</f>
        <v>焗葡汁白菌豆腐飯</v>
      </c>
      <c r="B13" s="1" t="s">
        <v>204</v>
      </c>
      <c r="C13" s="1">
        <v>3</v>
      </c>
      <c r="D13" s="1" t="s">
        <v>368</v>
      </c>
      <c r="E13" s="1" t="str">
        <f>_xlfn.TRANSLATE(Steps[[#This Row],[內容]],"zh-cht","en")</f>
        <v>Finally, add tofu, slice white mushrooms and coconut milk, then add thickened sauce and cook until thickened</v>
      </c>
      <c r="F13" s="1" t="str">
        <f>_xlfn.TRANSLATE(Steps[[#This Row],[內容]],"zh-cht","fil")</f>
        <v>Sa huli, idagdag ang tofu, hiwain ang puting kabute at gatas ng niyog, pagkatapos ay lagyan ng malapot na sarsa at lutuin hanggang lumapot</v>
      </c>
      <c r="G13" s="1" t="str">
        <f>_xlfn.TRANSLATE(Steps[[#This Row],[內容]],"zh-cht","id")</f>
        <v>Terakhir, tambahkan tahu, iris jamur putih dan santan, lalu tambahkan saus kental dan masak hingga kental</v>
      </c>
    </row>
    <row r="14" spans="1:7" ht="17" x14ac:dyDescent="0.4">
      <c r="A14" s="20" t="str">
        <f>_xlfn.XLOOKUP(B14,表格1[ID],表格1[Dish])</f>
        <v>焗葡汁白菌豆腐飯</v>
      </c>
      <c r="B14" s="1" t="s">
        <v>204</v>
      </c>
      <c r="C14" s="1">
        <v>4</v>
      </c>
      <c r="D14" s="1" t="s">
        <v>369</v>
      </c>
      <c r="E14" s="1" t="str">
        <f>_xlfn.TRANSLATE(Steps[[#This Row],[內容]],"zh-cht","en")</f>
        <v>Place the white rice on a baking dish, then pour the cooked tofu over the rice surface and sprinkle some cheese</v>
      </c>
      <c r="F14" s="1" t="str">
        <f>_xlfn.TRANSLATE(Steps[[#This Row],[內容]],"zh-cht","fil")</f>
        <v>Ilagay ang puting kanin sa isang baking dish, pagkatapos ibuhos ang nilutong tofu sa ibabaw ng kanin at budburan ng kaunting keso</v>
      </c>
      <c r="G14" s="1" t="str">
        <f>_xlfn.TRANSLATE(Steps[[#This Row],[內容]],"zh-cht","id")</f>
        <v>Letakkan nasi putih di atas loyang, lalu tuangkan tahu yang sudah matang di atas permukaan nasi dan taburi sedikit keju</v>
      </c>
    </row>
    <row r="15" spans="1:7" ht="17" x14ac:dyDescent="0.4">
      <c r="A15" s="20" t="str">
        <f>_xlfn.XLOOKUP(B15,表格1[ID],表格1[Dish])</f>
        <v>焗葡汁白菌豆腐飯</v>
      </c>
      <c r="B15" s="1" t="s">
        <v>204</v>
      </c>
      <c r="C15" s="1">
        <v>5</v>
      </c>
      <c r="D15" s="1" t="s">
        <v>370</v>
      </c>
      <c r="E15" s="1" t="str">
        <f>_xlfn.TRANSLATE(Steps[[#This Row],[內容]],"zh-cht","en")</f>
        <v>Preheat the oven to 200°C and bake for about 5-8 minutes to finish</v>
      </c>
      <c r="F15" s="1" t="str">
        <f>_xlfn.TRANSLATE(Steps[[#This Row],[內容]],"zh-cht","fil")</f>
        <v>Painitin ang oven sa 200°C at i-bake ng mga 5-8 minuto para matapos</v>
      </c>
      <c r="G15" s="1" t="str">
        <f>_xlfn.TRANSLATE(Steps[[#This Row],[內容]],"zh-cht","id")</f>
        <v>Panaskan oven pada suhu 200°C dan panggang selama sekitar 5-8 menit untuk selesai</v>
      </c>
    </row>
    <row r="16" spans="1:7" ht="17" x14ac:dyDescent="0.4">
      <c r="A16" s="20" t="str">
        <f>_xlfn.XLOOKUP(B16,表格1[ID],表格1[Dish])</f>
        <v>素羅宋湯</v>
      </c>
      <c r="B16" s="1" t="s">
        <v>203</v>
      </c>
      <c r="C16" s="1">
        <v>1</v>
      </c>
      <c r="D16" s="1" t="s">
        <v>371</v>
      </c>
      <c r="E16" s="1" t="str">
        <f>_xlfn.TRANSLATE(Steps[[#This Row],[內容]],"zh-cht","en")</f>
        <v>After boiling water, add the diced potatoes, diced carrots, peeled and diced tomatoes, and simmer over medium heat</v>
      </c>
      <c r="F16" s="1" t="str">
        <f>_xlfn.TRANSLATE(Steps[[#This Row],[內容]],"zh-cht","fil")</f>
        <v>Pagkatapos pakuluan ang tubig, idagdag ang diced na patatas, diced carrots, balatan at diced na kamatis, at pakuluan sa katamtamang init</v>
      </c>
      <c r="G16" s="1" t="str">
        <f>_xlfn.TRANSLATE(Steps[[#This Row],[內容]],"zh-cht","id")</f>
        <v>Setelah air direbus, tambahkan kentang dadu, wortel dadu, tomat yang dikupas dan dipotong dadu, lalu didihkan dengan api sedang</v>
      </c>
    </row>
    <row r="17" spans="1:7" ht="17" x14ac:dyDescent="0.4">
      <c r="A17" s="20" t="str">
        <f>_xlfn.XLOOKUP(B17,表格1[ID],表格1[Dish])</f>
        <v>素羅宋湯</v>
      </c>
      <c r="B17" s="1" t="s">
        <v>203</v>
      </c>
      <c r="C17" s="1">
        <v>2</v>
      </c>
      <c r="D17" s="1" t="s">
        <v>372</v>
      </c>
      <c r="E17" s="1" t="str">
        <f>_xlfn.TRANSLATE(Steps[[#This Row],[內容]],"zh-cht","en")</f>
        <v>Melt beef fat in a skillet, add thinly sliced mushrooms, and stir-fry until cooked</v>
      </c>
      <c r="F17" s="1" t="str">
        <f>_xlfn.TRANSLATE(Steps[[#This Row],[內容]],"zh-cht","fil")</f>
        <v>Tunawin ang taba ng baka sa kawali, idagdag ang manipis na hiniwang kabute, at igisa hanggang maluto</v>
      </c>
      <c r="G17" s="1" t="str">
        <f>_xlfn.TRANSLATE(Steps[[#This Row],[內容]],"zh-cht","id")</f>
        <v>Lelehkan lemak sapi di wajan, tambahkan jamur iris tipis, dan tumis sampai matang</v>
      </c>
    </row>
    <row r="18" spans="1:7" ht="17" x14ac:dyDescent="0.4">
      <c r="A18" s="20" t="str">
        <f>_xlfn.XLOOKUP(B18,表格1[ID],表格1[Dish])</f>
        <v>素羅宋湯</v>
      </c>
      <c r="B18" s="1" t="s">
        <v>203</v>
      </c>
      <c r="C18" s="1">
        <v>3</v>
      </c>
      <c r="D18" s="1" t="s">
        <v>373</v>
      </c>
      <c r="E18" s="1" t="str">
        <f>_xlfn.TRANSLATE(Steps[[#This Row],[內容]],"zh-cht","en")</f>
        <v>Put the cooked mushrooms into the soup pot</v>
      </c>
      <c r="F18" s="1" t="str">
        <f>_xlfn.TRANSLATE(Steps[[#This Row],[內容]],"zh-cht","fil")</f>
        <v>Ilagay ang nilutong kabute sa palayok ng sopas</v>
      </c>
      <c r="G18" s="1" t="str">
        <f>_xlfn.TRANSLATE(Steps[[#This Row],[內容]],"zh-cht","id")</f>
        <v>Masukkan jamur yang sudah matang ke dalam panci sup</v>
      </c>
    </row>
    <row r="19" spans="1:7" ht="17" x14ac:dyDescent="0.4">
      <c r="A19" s="20" t="str">
        <f>_xlfn.XLOOKUP(B19,表格1[ID],表格1[Dish])</f>
        <v>素羅宋湯</v>
      </c>
      <c r="B19" s="1" t="s">
        <v>203</v>
      </c>
      <c r="C19" s="1">
        <v>4</v>
      </c>
      <c r="D19" s="1" t="s">
        <v>356</v>
      </c>
      <c r="E19" s="1" t="str">
        <f>_xlfn.TRANSLATE(Steps[[#This Row],[內容]],"zh-cht","en")</f>
        <v>Add cabbage, tomato paste, and superior broth. Bring to a boil over medium heat, then simmer on low for 50 minutes. After cooking, add sugar and pepper before serving</v>
      </c>
      <c r="F19" s="1" t="str">
        <f>_xlfn.TRANSLATE(Steps[[#This Row],[內容]],"zh-cht","fil")</f>
        <v>Idagdag ang repolyo, tomato paste, at superior broth. Pakuluan sa katamtamang init, pagkatapos ay pakuluan sa mababang init ng 50 minuto. Pagkatapos lutuin, magdagdag ng asukal at paminta bago ihain</v>
      </c>
      <c r="G19" s="1" t="str">
        <f>_xlfn.TRANSLATE(Steps[[#This Row],[內容]],"zh-cht","id")</f>
        <v>Tambahkan kubis, pasta tomat, dan kaldu superior. Didihkan dengan api sedang, lalu didihkan dengan api kecil selama 50 menit. Setelah memasak, tambahkan gula dan lada sebelum disajikan</v>
      </c>
    </row>
    <row r="20" spans="1:7" ht="17" x14ac:dyDescent="0.4">
      <c r="A20" s="20" t="str">
        <f>_xlfn.XLOOKUP(B20,表格1[ID],表格1[Dish])</f>
        <v>薯仔沙律蛋包</v>
      </c>
      <c r="B20" s="1" t="s">
        <v>202</v>
      </c>
      <c r="C20" s="1">
        <v>1</v>
      </c>
      <c r="D20" s="1" t="s">
        <v>357</v>
      </c>
      <c r="E20" s="1" t="str">
        <f>_xlfn.TRANSLATE(Steps[[#This Row],[內容]],"zh-cht","en")</f>
        <v>After boiling the eggs, chop them. Blanch the broccoli and carrot, then add a little salt and mix the sauce well</v>
      </c>
      <c r="F20" s="1" t="str">
        <f>_xlfn.TRANSLATE(Steps[[#This Row],[內容]],"zh-cht","fil")</f>
        <v>Pagkatapos pakuluan ang mga itlog, tadtarin ang mga ito. I-blanch ang broccoli at karot, pagkatapos ay magdagdag ng kaunting asin at haluin nang mabuti ang sarsa</v>
      </c>
      <c r="G20" s="1" t="str">
        <f>_xlfn.TRANSLATE(Steps[[#This Row],[內容]],"zh-cht","id")</f>
        <v>Setelah telur direbus, cincang. Rebus brokoli dan wortel, lalu tambahkan sedikit garam dan aduk saus rata</v>
      </c>
    </row>
    <row r="21" spans="1:7" ht="17" x14ac:dyDescent="0.4">
      <c r="A21" s="20" t="str">
        <f>_xlfn.XLOOKUP(B21,表格1[ID],表格1[Dish])</f>
        <v>薯仔沙律蛋包</v>
      </c>
      <c r="B21" s="1" t="s">
        <v>202</v>
      </c>
      <c r="C21" s="1">
        <v>2</v>
      </c>
      <c r="D21" s="1" t="s">
        <v>358</v>
      </c>
      <c r="E21" s="1" t="str">
        <f>_xlfn.TRANSLATE(Steps[[#This Row],[內容]],"zh-cht","en")</f>
        <v>Peel and slice the potatoes thinly, steam until cooked, mash, then add chopped egg, broccoli, carrot, and sauce</v>
      </c>
      <c r="F21" s="1" t="str">
        <f>_xlfn.TRANSLATE(Steps[[#This Row],[內容]],"zh-cht","fil")</f>
        <v>Balatan at hiwain nang manipis ang patatas, i-steam hanggang maluto, durugin, pagkatapos ay idagdag ang tinadtad na itlog, broccoli, karot, at sarsa</v>
      </c>
      <c r="G21" s="1" t="str">
        <f>_xlfn.TRANSLATE(Steps[[#This Row],[內容]],"zh-cht","id")</f>
        <v>Kupas dan iris tipis kentang, kukus sampai matang, tumbukkan, lalu tambahkan telur cincang, brokoli, wortel, dan saus</v>
      </c>
    </row>
    <row r="22" spans="1:7" ht="17" x14ac:dyDescent="0.4">
      <c r="A22" s="20" t="str">
        <f>_xlfn.XLOOKUP(B22,表格1[ID],表格1[Dish])</f>
        <v>薯仔沙律蛋包</v>
      </c>
      <c r="B22" s="1" t="s">
        <v>202</v>
      </c>
      <c r="C22" s="1">
        <v>3</v>
      </c>
      <c r="D22" s="1" t="s">
        <v>359</v>
      </c>
      <c r="E22" s="1" t="str">
        <f>_xlfn.TRANSLATE(Steps[[#This Row],[內容]],"zh-cht","en")</f>
        <v>Place it in a pre-cut dinner bag to finish</v>
      </c>
      <c r="F22" s="1" t="str">
        <f>_xlfn.TRANSLATE(Steps[[#This Row],[內容]],"zh-cht","fil")</f>
        <v>Ilagay ito sa pre-cut na dinner bag para tapusin</v>
      </c>
      <c r="G22" s="1" t="str">
        <f>_xlfn.TRANSLATE(Steps[[#This Row],[內容]],"zh-cht","id")</f>
        <v>Masukkan ke dalam kantong makan malam yang sudah dipotong untuk menyelesaikan</v>
      </c>
    </row>
    <row r="23" spans="1:7" x14ac:dyDescent="0.4">
      <c r="A23" s="20" t="str">
        <f>_xlfn.XLOOKUP(B23,表格1[ID],表格1[Dish])</f>
        <v>麻婆豆腐</v>
      </c>
      <c r="B23" s="1" t="s">
        <v>130</v>
      </c>
      <c r="C23" s="1">
        <v>1</v>
      </c>
      <c r="D23" s="10" t="s">
        <v>354</v>
      </c>
      <c r="E23" s="1" t="str">
        <f>_xlfn.TRANSLATE(Steps[[#This Row],[內容]],"zh-cht","en")</f>
        <v>Blanch the tofu in boiling water for 1 minute to remove the flavor.</v>
      </c>
      <c r="F23" s="1" t="str">
        <f>_xlfn.TRANSLATE(Steps[[#This Row],[內容]],"zh-cht","fil")</f>
        <v>I-blanch ang tofu sa kumukulong tubig ng 1 minuto para mawala ang lasa.</v>
      </c>
      <c r="G23" s="1" t="str">
        <f>_xlfn.TRANSLATE(Steps[[#This Row],[內容]],"zh-cht","id")</f>
        <v>Rebus tahu dalam air mendidih selama 1 menit untuk menghilangkan rasa.</v>
      </c>
    </row>
    <row r="24" spans="1:7" ht="17" x14ac:dyDescent="0.4">
      <c r="A24" s="20" t="str">
        <f>_xlfn.XLOOKUP(B24,表格1[ID],表格1[Dish])</f>
        <v>麻婆豆腐</v>
      </c>
      <c r="B24" s="1" t="s">
        <v>130</v>
      </c>
      <c r="C24" s="1">
        <v>2</v>
      </c>
      <c r="D24" s="10" t="s">
        <v>436</v>
      </c>
      <c r="E24" s="1" t="str">
        <f>_xlfn.TRANSLATE(Steps[[#This Row],[內容]],"zh-cht","en")</f>
        <v>Heat a wok over medium heat, add oil and stir-fry the pork for 1 minute, then add black pepper.</v>
      </c>
      <c r="F24" s="1" t="str">
        <f>_xlfn.TRANSLATE(Steps[[#This Row],[內容]],"zh-cht","fil")</f>
        <v>Painitin ang wok sa katamtamang init, idagdag ang mantika at igisa ang baboy ng 1 minuto, pagkatapos ay idagdag ang itim na paminta.</v>
      </c>
      <c r="G24" s="1" t="str">
        <f>_xlfn.TRANSLATE(Steps[[#This Row],[內容]],"zh-cht","id")</f>
        <v>Panaskan wajan dengan api sedang, tambahkan minyak dan tumis daging babi selama 1 menit, lalu tambahkan lada hitam.</v>
      </c>
    </row>
    <row r="25" spans="1:7" x14ac:dyDescent="0.4">
      <c r="A25" s="20" t="str">
        <f>_xlfn.XLOOKUP(B25,表格1[ID],表格1[Dish])</f>
        <v>麻婆豆腐</v>
      </c>
      <c r="B25" s="1" t="s">
        <v>130</v>
      </c>
      <c r="C25" s="1">
        <v>3</v>
      </c>
      <c r="D25" s="10" t="s">
        <v>355</v>
      </c>
      <c r="E25" s="1" t="str">
        <f>_xlfn.TRANSLATE(Steps[[#This Row],[內容]],"zh-cht","en")</f>
        <v>Remove the meat and set aside. Leave some oil, add Sichuan peppercorn oil and spicy doubanjiang, then add minced ginger and garlic.</v>
      </c>
      <c r="F25" s="1" t="str">
        <f>_xlfn.TRANSLATE(Steps[[#This Row],[內容]],"zh-cht","fil")</f>
        <v>Alisin ang karne at itabi sa tabi. Mag-iwan ng kaunting mantika, idagdag ang Sichuan peppercorn oil at maanghang na doubanjiang, pagkatapos ay idagdag ang tinadtad na luya at bawang.</v>
      </c>
      <c r="G25" s="1" t="str">
        <f>_xlfn.TRANSLATE(Steps[[#This Row],[內容]],"zh-cht","id")</f>
        <v>Keluarkan daging dan sisihkan. Sisakan sedikit minyak, tambahkan minyak lada Sichuan dan doubanjiang pedas, lalu tambahkan jahe cincang dan bawang putih.</v>
      </c>
    </row>
    <row r="26" spans="1:7" ht="17" x14ac:dyDescent="0.4">
      <c r="A26" s="20" t="str">
        <f>_xlfn.XLOOKUP(B26,表格1[ID],表格1[Dish])</f>
        <v>麻婆豆腐</v>
      </c>
      <c r="B26" s="1" t="s">
        <v>130</v>
      </c>
      <c r="C26" s="1">
        <v>4</v>
      </c>
      <c r="D26" s="10" t="s">
        <v>437</v>
      </c>
      <c r="E26" s="1" t="str">
        <f>_xlfn.TRANSLATE(Steps[[#This Row],[內容]],"zh-cht","en")</f>
        <v>Add fermented black beans, then add the meat and pickled mustard greens, stir-fry briefly.</v>
      </c>
      <c r="F26" s="1" t="str">
        <f>_xlfn.TRANSLATE(Steps[[#This Row],[內容]],"zh-cht","fil")</f>
        <v>Idagdag ang fermented na black beans, pagkatapos ay idagdag ang karne at pickled mustard greens, at igisa sandali.</v>
      </c>
      <c r="G26" s="1" t="str">
        <f>_xlfn.TRANSLATE(Steps[[#This Row],[內容]],"zh-cht","id")</f>
        <v>Tambahkan kacang hitam fermentasi, lalu tambahkan daging dan daun mustard acar, tumis sebentar.</v>
      </c>
    </row>
    <row r="27" spans="1:7" ht="17" x14ac:dyDescent="0.4">
      <c r="A27" s="20" t="str">
        <f>_xlfn.XLOOKUP(B27,表格1[ID],表格1[Dish])</f>
        <v>麻婆豆腐</v>
      </c>
      <c r="B27" s="1" t="s">
        <v>130</v>
      </c>
      <c r="C27" s="1">
        <v>5</v>
      </c>
      <c r="D27" s="1" t="s">
        <v>438</v>
      </c>
      <c r="E27" s="1" t="str">
        <f>_xlfn.TRANSLATE(Steps[[#This Row],[內容]],"zh-cht","en")</f>
        <v>Add soup.</v>
      </c>
      <c r="F27" s="1" t="str">
        <f>_xlfn.TRANSLATE(Steps[[#This Row],[內容]],"zh-cht","fil")</f>
        <v>Magdagdag ng sopas.</v>
      </c>
      <c r="G27" s="1" t="str">
        <f>_xlfn.TRANSLATE(Steps[[#This Row],[內容]],"zh-cht","id")</f>
        <v>Tambahkan sup.</v>
      </c>
    </row>
    <row r="28" spans="1:7" x14ac:dyDescent="0.4">
      <c r="A28" s="20" t="str">
        <f>_xlfn.XLOOKUP(B28,表格1[ID],表格1[Dish])</f>
        <v>麻婆豆腐</v>
      </c>
      <c r="B28" s="1" t="s">
        <v>130</v>
      </c>
      <c r="C28" s="1">
        <v>6</v>
      </c>
      <c r="D28" s="10" t="s">
        <v>374</v>
      </c>
      <c r="E28" s="1" t="str">
        <f>_xlfn.TRANSLATE(Steps[[#This Row],[內容]],"zh-cht","en")</f>
        <v>Add dark soy sauce, add the tofu, and simmer on low heat for 3 minutes.</v>
      </c>
      <c r="F28" s="1" t="str">
        <f>_xlfn.TRANSLATE(Steps[[#This Row],[內容]],"zh-cht","fil")</f>
        <v>Idagdag ang madilim na toyo, ilagay ang tofu, at pakuluan sa mababang init ng 3 minuto.</v>
      </c>
      <c r="G28" s="1" t="str">
        <f>_xlfn.TRANSLATE(Steps[[#This Row],[內容]],"zh-cht","id")</f>
        <v>Tambahkan kecap asin gelap, tambahkan tahu, dan didihkan dengan api kecil selama 3 menit.</v>
      </c>
    </row>
    <row r="29" spans="1:7" x14ac:dyDescent="0.4">
      <c r="A29" s="20" t="str">
        <f>_xlfn.XLOOKUP(B29,表格1[ID],表格1[Dish])</f>
        <v>麻婆豆腐</v>
      </c>
      <c r="B29" s="1" t="s">
        <v>130</v>
      </c>
      <c r="C29" s="1">
        <v>7</v>
      </c>
      <c r="D29" s="10" t="s">
        <v>375</v>
      </c>
      <c r="E29" s="1" t="str">
        <f>_xlfn.TRANSLATE(Steps[[#This Row],[內容]],"zh-cht","en")</f>
        <v>Add cornstarch water, add chopped scallions, cook for 30 seconds, and half a teaspoon of sesame oil.</v>
      </c>
      <c r="F29" s="1" t="str">
        <f>_xlfn.TRANSLATE(Steps[[#This Row],[內容]],"zh-cht","fil")</f>
        <v>Magdagdag ng cornstarch water, idagdag ang tinadtad na scallions, lutuin ng 30 segundo, at kalahating kutsarita ng sesame oil.</v>
      </c>
      <c r="G29" s="1" t="str">
        <f>_xlfn.TRANSLATE(Steps[[#This Row],[內容]],"zh-cht","id")</f>
        <v>Tambahkan air tepung jagung, tambahkan daun bawang cincang, masak selama 30 detik, dan setengah sendok teh minyak wijen.</v>
      </c>
    </row>
    <row r="30" spans="1:7" x14ac:dyDescent="0.4">
      <c r="A30" s="20" t="str">
        <f>_xlfn.XLOOKUP(B30,表格1[ID],表格1[Dish])</f>
        <v>蒜蓉蒸茄子</v>
      </c>
      <c r="B30" s="1" t="s">
        <v>131</v>
      </c>
      <c r="C30" s="1">
        <v>1</v>
      </c>
      <c r="D30" s="10" t="s">
        <v>439</v>
      </c>
      <c r="E30" s="1" t="str">
        <f>_xlfn.TRANSLATE(Steps[[#This Row],[內容]],"zh-cht","en")</f>
        <v>Cut open and wash the eggplant, then lay it out on a plate.</v>
      </c>
      <c r="F30" s="1" t="str">
        <f>_xlfn.TRANSLATE(Steps[[#This Row],[內容]],"zh-cht","fil")</f>
        <v>Putulin at hugasan ang talong, pagkatapos ay ilatag ito sa plato.</v>
      </c>
      <c r="G30" s="1" t="str">
        <f>_xlfn.TRANSLATE(Steps[[#This Row],[內容]],"zh-cht","id")</f>
        <v>Potong dan cuci terong, lalu letakkan di atas piring.</v>
      </c>
    </row>
    <row r="31" spans="1:7" x14ac:dyDescent="0.4">
      <c r="A31" s="20" t="str">
        <f>_xlfn.XLOOKUP(B31,表格1[ID],表格1[Dish])</f>
        <v>蒜蓉蒸茄子</v>
      </c>
      <c r="B31" s="1" t="s">
        <v>131</v>
      </c>
      <c r="C31" s="1">
        <v>2</v>
      </c>
      <c r="D31" s="10" t="s">
        <v>396</v>
      </c>
      <c r="E31" s="1" t="str">
        <f>_xlfn.TRANSLATE(Steps[[#This Row],[內容]],"zh-cht","en")</f>
        <v>Add sugar, cornstarch, and chicken powder to the minced garlic, then mix well.</v>
      </c>
      <c r="F31" s="1" t="str">
        <f>_xlfn.TRANSLATE(Steps[[#This Row],[內容]],"zh-cht","fil")</f>
        <v>Idagdag ang asukal, cornstarch, at chicken powder sa tinadtad na bawang, pagkatapos ay haluin nang mabuti.</v>
      </c>
      <c r="G31" s="1" t="str">
        <f>_xlfn.TRANSLATE(Steps[[#This Row],[內容]],"zh-cht","id")</f>
        <v>Tambahkan gula, tepung jagung, dan bubuk ayam ke bawang putih cincang, lalu aduk rata.</v>
      </c>
    </row>
    <row r="32" spans="1:7" x14ac:dyDescent="0.4">
      <c r="A32" s="20" t="str">
        <f>_xlfn.XLOOKUP(B32,表格1[ID],表格1[Dish])</f>
        <v>蒜蓉蒸茄子</v>
      </c>
      <c r="B32" s="1" t="s">
        <v>131</v>
      </c>
      <c r="C32" s="1">
        <v>3</v>
      </c>
      <c r="D32" s="10" t="s">
        <v>393</v>
      </c>
      <c r="E32" s="1" t="str">
        <f>_xlfn.TRANSLATE(Steps[[#This Row],[內容]],"zh-cht","en")</f>
        <v>Heat oil, pour in the minced garlic, mix well, and spread it over the eggplant.</v>
      </c>
      <c r="F32" s="1" t="str">
        <f>_xlfn.TRANSLATE(Steps[[#This Row],[內容]],"zh-cht","fil")</f>
        <v>Painitin ang mantika, ibuhos ang tinadtad na bawang, haluin nang mabuti, at ikalat ito sa talong.</v>
      </c>
      <c r="G32" s="1" t="str">
        <f>_xlfn.TRANSLATE(Steps[[#This Row],[內容]],"zh-cht","id")</f>
        <v>Panaskan minyak, tuangkan bawang putih cincang, aduk rata, lalu oleskan di atas terong.</v>
      </c>
    </row>
    <row r="33" spans="1:7" x14ac:dyDescent="0.4">
      <c r="A33" s="20" t="str">
        <f>_xlfn.XLOOKUP(B33,表格1[ID],表格1[Dish])</f>
        <v>蒜蓉蒸茄子</v>
      </c>
      <c r="B33" s="1" t="s">
        <v>131</v>
      </c>
      <c r="C33" s="1">
        <v>4</v>
      </c>
      <c r="D33" s="10" t="s">
        <v>394</v>
      </c>
      <c r="E33" s="1" t="str">
        <f>_xlfn.TRANSLATE(Steps[[#This Row],[內容]],"zh-cht","en")</f>
        <v>Once the water boils, steam on high heat for 10 minutes.</v>
      </c>
      <c r="F33" s="1" t="str">
        <f>_xlfn.TRANSLATE(Steps[[#This Row],[內容]],"zh-cht","fil")</f>
        <v>Kapag kumulo na ang tubig, i-steam sa mataas na init ng 10 minuto.</v>
      </c>
      <c r="G33" s="1" t="str">
        <f>_xlfn.TRANSLATE(Steps[[#This Row],[內容]],"zh-cht","id")</f>
        <v>Setelah air mendidih, kukus dengan api tinggi selama 10 menit.</v>
      </c>
    </row>
    <row r="34" spans="1:7" x14ac:dyDescent="0.4">
      <c r="A34" s="20" t="str">
        <f>_xlfn.XLOOKUP(B34,表格1[ID],表格1[Dish])</f>
        <v>蒜蓉蒸茄子</v>
      </c>
      <c r="B34" s="1" t="s">
        <v>131</v>
      </c>
      <c r="C34" s="1">
        <v>5</v>
      </c>
      <c r="D34" s="10" t="s">
        <v>395</v>
      </c>
      <c r="E34" s="1" t="str">
        <f>_xlfn.TRANSLATE(Steps[[#This Row],[內容]],"zh-cht","en")</f>
        <v>Add chopped scallions, pour in flaky oil, and pour in hot oil to finish.</v>
      </c>
      <c r="F34" s="1" t="str">
        <f>_xlfn.TRANSLATE(Steps[[#This Row],[內容]],"zh-cht","fil")</f>
        <v>Idagdag ang tinadtad na scallions, ibuhos ang flaky oil, at ibuhos ang mainit na mantika bilang finish.</v>
      </c>
      <c r="G34" s="1" t="str">
        <f>_xlfn.TRANSLATE(Steps[[#This Row],[內容]],"zh-cht","id")</f>
        <v>Tambahkan daun bawang cincang, tuangkan minyak yang mengelupas, lalu tuangkan minyak panas untuk melengkapi.</v>
      </c>
    </row>
    <row r="35" spans="1:7" x14ac:dyDescent="0.4">
      <c r="A35" s="20" t="str">
        <f>_xlfn.XLOOKUP(B35,表格1[ID],表格1[Dish])</f>
        <v>金銀蛋菠菜</v>
      </c>
      <c r="B35" s="1" t="s">
        <v>132</v>
      </c>
      <c r="C35" s="1">
        <v>1</v>
      </c>
      <c r="D35" s="10" t="s">
        <v>407</v>
      </c>
      <c r="E35" s="1" t="str">
        <f>_xlfn.TRANSLATE(Steps[[#This Row],[內容]],"zh-cht","en")</f>
        <v>Separate the salted egg whites and yolks; Peel the century eggs and cut into small pieces.</v>
      </c>
      <c r="F35" s="1" t="str">
        <f>_xlfn.TRANSLATE(Steps[[#This Row],[內容]],"zh-cht","fil")</f>
        <v>Paghiwalayin ang maalat na puti ng itlog at pula ng itlog; Balatan ang century eggs at hiwain sa maliliit na piraso.</v>
      </c>
      <c r="G35" s="1" t="str">
        <f>_xlfn.TRANSLATE(Steps[[#This Row],[內容]],"zh-cht","id")</f>
        <v>Pisahkan putih telur dan kuning telur yang diasinkan; Kupas telur abad dan potong menjadi potongan kecil.</v>
      </c>
    </row>
    <row r="36" spans="1:7" ht="17" x14ac:dyDescent="0.4">
      <c r="A36" s="20" t="str">
        <f>_xlfn.XLOOKUP(B36,表格1[ID],表格1[Dish])</f>
        <v>金銀蛋菠菜</v>
      </c>
      <c r="B36" s="1" t="s">
        <v>132</v>
      </c>
      <c r="C36" s="1">
        <v>2</v>
      </c>
      <c r="D36" s="10" t="s">
        <v>408</v>
      </c>
      <c r="E36" s="1" t="str">
        <f>_xlfn.TRANSLATE(Steps[[#This Row],[內容]],"zh-cht","en")</f>
        <v>Add oil, sauté whole garlic until fragrant, after 1 minute, add spinach and stir-fry quickly, pour in a little chicken broth, and serve with spinach.</v>
      </c>
      <c r="F36" s="1" t="str">
        <f>_xlfn.TRANSLATE(Steps[[#This Row],[內容]],"zh-cht","fil")</f>
        <v>Magdagdag ng mantika, igisa ang buong bawang hanggang mabango, pagkatapos ng 1 minuto, idagdag ang spinach at igisa nang mabilis, ibuhos ang kaunting sabaw ng manok, at ihain kasama ang spinach.</v>
      </c>
      <c r="G36" s="1" t="str">
        <f>_xlfn.TRANSLATE(Steps[[#This Row],[內容]],"zh-cht","id")</f>
        <v>Tambahkan minyak, tumis bawang putih utuh hingga harum, setelah 1 menit, tambahkan bayam dan tumis dengan cepat, tuang sedikit kaldu ayam, dan sajikan bersama bayam.</v>
      </c>
    </row>
    <row r="37" spans="1:7" ht="17" x14ac:dyDescent="0.4">
      <c r="A37" s="20" t="str">
        <f>_xlfn.XLOOKUP(B37,表格1[ID],表格1[Dish])</f>
        <v>金銀蛋菠菜</v>
      </c>
      <c r="B37" s="1" t="s">
        <v>132</v>
      </c>
      <c r="C37" s="1">
        <v>3</v>
      </c>
      <c r="D37" s="10" t="s">
        <v>440</v>
      </c>
      <c r="E37" s="1" t="str">
        <f>_xlfn.TRANSLATE(Steps[[#This Row],[內容]],"zh-cht","en")</f>
        <v>Bring a clear wok to a boil, add chicken broth, first add salted egg yolk and century egg, cook for 2 minutes, then add salted egg whites and beat into egg drops. Add spinach and serve with soup</v>
      </c>
      <c r="F37" s="1" t="str">
        <f>_xlfn.TRANSLATE(Steps[[#This Row],[內容]],"zh-cht","fil")</f>
        <v>Pakuluan ang malinaw na wok, idagdag ang sabaw ng manok, una idagdag ang maalat na pula ng itlog at century egg, lutuin ng 2 minuto, pagkatapos ay idagdag ang maalat na puti ng itlog at batiin hanggang maging egg drops. Idagdag ang spinach at ihain kasama ng sopas</v>
      </c>
      <c r="G37" s="1" t="str">
        <f>_xlfn.TRANSLATE(Steps[[#This Row],[內容]],"zh-cht","id")</f>
        <v>Didihkan wajan bening, tambahkan kaldu ayam, tambahkan kuning telur asin dan telur abad terlebih dahulu, masak selama 2 menit, lalu tambahkan putih telur asin dan kocok menjadi tetesan telur. Tambahkan bayam dan sajikan bersama sup</v>
      </c>
    </row>
    <row r="38" spans="1:7" x14ac:dyDescent="0.4">
      <c r="A38" s="20" t="str">
        <f>_xlfn.XLOOKUP(B38,表格1[ID],表格1[Dish])</f>
        <v>薑葱焗桶蠔</v>
      </c>
      <c r="B38" s="1" t="s">
        <v>134</v>
      </c>
      <c r="C38" s="1">
        <v>1</v>
      </c>
      <c r="D38" s="10" t="s">
        <v>419</v>
      </c>
      <c r="E38" s="1" t="str">
        <f>_xlfn.TRANSLATE(Steps[[#This Row],[內容]],"zh-cht","en")</f>
        <v>Cut the scallion into sections (separate the white and green parts), and slice the ginger for later use.</v>
      </c>
      <c r="F38" s="1" t="str">
        <f>_xlfn.TRANSLATE(Steps[[#This Row],[內容]],"zh-cht","fil")</f>
        <v>Hiwain ang scallion sa mga bahagi (paghiwalayin ang puti at berdeng bahagi), at hiwain ang luya para magamit sa susunod.</v>
      </c>
      <c r="G38" s="1" t="str">
        <f>_xlfn.TRANSLATE(Steps[[#This Row],[內容]],"zh-cht","id")</f>
        <v>Potong daun bawang menjadi beberapa bagian (pisahkan bagian putih dan hijau), lalu iris jahe untuk digunakan nanti.</v>
      </c>
    </row>
    <row r="39" spans="1:7" ht="17" x14ac:dyDescent="0.4">
      <c r="A39" s="20" t="str">
        <f>_xlfn.XLOOKUP(B39,表格1[ID],表格1[Dish])</f>
        <v>薑葱焗桶蠔</v>
      </c>
      <c r="B39" s="1" t="s">
        <v>134</v>
      </c>
      <c r="C39" s="1">
        <v>2</v>
      </c>
      <c r="D39" s="11" t="s">
        <v>443</v>
      </c>
      <c r="E39" s="1" t="str">
        <f>_xlfn.TRANSLATE(Steps[[#This Row],[內容]],"zh-cht","en")</f>
        <v>Rinse the oysters gently with 2 tablespoons of cornstarch until they are no longer cloudy. Absorb the water. Gently wipe off the surface with your hands</v>
      </c>
      <c r="F39" s="1" t="str">
        <f>_xlfn.TRANSLATE(Steps[[#This Row],[內容]],"zh-cht","fil")</f>
        <v>Banlawan nang dahan-dahan ang talaba gamit ang 2 kutsara ng cornstarch hanggang hindi na ito malabo. Sipsipin ang tubig. Dahan-dahang punasan ang ibabaw gamit ang iyong mga kamay</v>
      </c>
      <c r="G39" s="1" t="str">
        <f>_xlfn.TRANSLATE(Steps[[#This Row],[內容]],"zh-cht","id")</f>
        <v>Bilas tiram dengan lembut menggunakan 2 sendok makan tepung maizena hingga tidak keruh lagi. Serap airnya. Lap permukaannya dengan tangan dengan lembut</v>
      </c>
    </row>
    <row r="40" spans="1:7" ht="17" x14ac:dyDescent="0.4">
      <c r="A40" s="20" t="str">
        <f>_xlfn.XLOOKUP(B40,表格1[ID],表格1[Dish])</f>
        <v>薑葱焗桶蠔</v>
      </c>
      <c r="B40" s="1" t="s">
        <v>134</v>
      </c>
      <c r="C40" s="1">
        <v>3</v>
      </c>
      <c r="D40" s="11" t="s">
        <v>444</v>
      </c>
      <c r="E40" s="1" t="str">
        <f>_xlfn.TRANSLATE(Steps[[#This Row],[內容]],"zh-cht","en")</f>
        <v>After boiling water, add a little ginger slices, blanch the oysters for 1 minute, remove and dry them, then coat with 3 tablespoons of cornstarch and salt.</v>
      </c>
      <c r="F40" s="1" t="str">
        <f>_xlfn.TRANSLATE(Steps[[#This Row],[內容]],"zh-cht","fil")</f>
        <v>Pagkatapos kumukulo ng tubig, magdagdag ng kaunting hiwa ng luya, i-blanch ang mga talaba ng 1 minuto, alisin at patuyuin, pagkatapos ay balutin ng 3 kutsara ng cornstarch at asin.</v>
      </c>
      <c r="G40" s="1" t="str">
        <f>_xlfn.TRANSLATE(Steps[[#This Row],[內容]],"zh-cht","id")</f>
        <v>Setelah air direbus, tambahkan sedikit irisan jahe, rebus tiram selama 1 menit, angkat dan keringkan, lalu lapisi dengan 3 sendok makan tepung maizena dan garam.</v>
      </c>
    </row>
    <row r="41" spans="1:7" ht="34" x14ac:dyDescent="0.4">
      <c r="A41" s="20" t="str">
        <f>_xlfn.XLOOKUP(B41,表格1[ID],表格1[Dish])</f>
        <v>薑葱焗桶蠔</v>
      </c>
      <c r="B41" s="1" t="s">
        <v>134</v>
      </c>
      <c r="C41" s="1">
        <v>4</v>
      </c>
      <c r="D41" s="11" t="s">
        <v>450</v>
      </c>
      <c r="E41" s="1" t="str">
        <f>_xlfn.TRANSLATE(Steps[[#This Row],[內容]],"zh-cht","en")</f>
        <v>Heat oil in a pan over medium heat, add ginger slices and scallion whites to release flavor, then remove the ginger and scallion whites, add oysters and pan-fry until slightly golden, then remove. Fry on high heat for 30 seconds and flip to the other side</v>
      </c>
      <c r="F41" s="1" t="str">
        <f>_xlfn.TRANSLATE(Steps[[#This Row],[內容]],"zh-cht","fil")</f>
        <v>Painitin ang mantika sa kawali sa katamtamang init, idagdag ang mga hiwa ng luya at puti ng scallion para mailabas ang lasa, pagkatapos alisin ang luya at puti ng scallion, idagdag ang talaba at iprito sa kawali hanggang bahagyang maging ginto, pagkatapos ay alisin. Iprito sa mataas na init ng 30 segundo at baliktarin sa kabilang gilid</v>
      </c>
      <c r="G41" s="1" t="str">
        <f>_xlfn.TRANSLATE(Steps[[#This Row],[內容]],"zh-cht","id")</f>
        <v>Panaskan minyak dalam wajan dengan api sedang, tambahkan irisan jahe dan putih bawang bawang untuk melepaskan rasa, lalu keluarkan jahe dan putih daun bawang, tambahkan tiram dan goreng sampai sedikit keemasan, lalu angkat. Goreng dengan api tinggi selama 30 detik lalu balik ke sisi lain</v>
      </c>
    </row>
    <row r="42" spans="1:7" ht="32.5" x14ac:dyDescent="0.4">
      <c r="A42" s="20" t="str">
        <f>_xlfn.XLOOKUP(B42,表格1[ID],表格1[Dish])</f>
        <v>薑葱焗桶蠔</v>
      </c>
      <c r="B42" s="1" t="s">
        <v>134</v>
      </c>
      <c r="C42" s="1">
        <v>5</v>
      </c>
      <c r="D42" s="11" t="s">
        <v>449</v>
      </c>
      <c r="E42" s="1" t="str">
        <f>_xlfn.TRANSLATE(Steps[[#This Row],[內容]],"zh-cht","en")</f>
        <v>Add garlic and stir-fry until fragrant, then add Shaoxing wine and the scallion and ginger that have just released the flavor. Once fragrant, add the oysters and stir-fry quickly. Divide the sauce in stages to reduce the sauce, then add the green scallions and stir-fry at the same time. Add two drops of sesame oil before serving</v>
      </c>
      <c r="F42" s="1" t="str">
        <f>_xlfn.TRANSLATE(Steps[[#This Row],[內容]],"zh-cht","fil")</f>
        <v>Idagdag ang bawang at igisa hanggang mabango, pagkatapos ay idagdag ang Shaoxing wine at ang scallion at luya na kakalabas lang ng lasa. Kapag mabango, idagdag ang talaba at mabilis na igisa. Hatiin ang sarsa sa mga yugto upang mabawasan ang sarsa, pagkatapos idagdag ang berdeng sibuyas at iprito nang sabay. Magdagdag ng dalawang patak ng sesame oil bago ihain</v>
      </c>
      <c r="G42" s="1" t="str">
        <f>_xlfn.TRANSLATE(Steps[[#This Row],[內容]],"zh-cht","id")</f>
        <v>Tambahkan bawang putih dan tumis sampai harum, lalu tambahkan Shaoxing wine serta daun bawang dan jahe yang baru saja melepaskan rasa. Setelah harum, tambahkan tiram dan tumis dengan cepat. Bagi saus secara bertahap untuk mengurangi saus, lalu tambahkan daun bawang hijau dan tumis secara bersamaan. Tambahkan dua tetes minyak wijen sebelum disajikan</v>
      </c>
    </row>
    <row r="43" spans="1:7" x14ac:dyDescent="0.4">
      <c r="A43" s="20" t="str">
        <f>_xlfn.XLOOKUP(B43,表格1[ID],表格1[Dish])</f>
        <v>土匪雞翼</v>
      </c>
      <c r="B43" s="1" t="s">
        <v>135</v>
      </c>
      <c r="C43" s="1">
        <v>1</v>
      </c>
      <c r="D43" s="10" t="s">
        <v>433</v>
      </c>
      <c r="E43" s="1" t="str">
        <f>_xlfn.TRANSLATE(Steps[[#This Row],[內容]],"zh-cht","en")</f>
        <v>Wash the chicken wings, wipe them dry, and marinate them with seasonings for a few hours</v>
      </c>
      <c r="F43" s="1" t="str">
        <f>_xlfn.TRANSLATE(Steps[[#This Row],[內容]],"zh-cht","fil")</f>
        <v>Hugasan ang mga pakpak ng manok, punasan ito para matuyo, at i-marinate gamit ang mga pampalasa ng ilang oras</v>
      </c>
      <c r="G43" s="1" t="str">
        <f>_xlfn.TRANSLATE(Steps[[#This Row],[內容]],"zh-cht","id")</f>
        <v>Cuci sayap ayam, lap kering, dan marinasi dengan bumbu selama beberapa jam</v>
      </c>
    </row>
    <row r="44" spans="1:7" x14ac:dyDescent="0.4">
      <c r="A44" s="20" t="str">
        <f>_xlfn.XLOOKUP(B44,表格1[ID],表格1[Dish])</f>
        <v>土匪雞翼</v>
      </c>
      <c r="B44" s="1" t="s">
        <v>135</v>
      </c>
      <c r="C44" s="1">
        <v>2</v>
      </c>
      <c r="D44" s="10" t="s">
        <v>434</v>
      </c>
      <c r="E44" s="1" t="str">
        <f>_xlfn.TRANSLATE(Steps[[#This Row],[內容]],"zh-cht","en")</f>
        <v>Place the chicken wings in the air fryer basket, brushing a little oil on the surface.</v>
      </c>
      <c r="F44" s="1" t="str">
        <f>_xlfn.TRANSLATE(Steps[[#This Row],[內容]],"zh-cht","fil")</f>
        <v>Ilagay ang mga pakpak ng manok sa basket ng air fryer, pahiran ng kaunting mantika sa ibabaw.</v>
      </c>
      <c r="G44" s="1" t="str">
        <f>_xlfn.TRANSLATE(Steps[[#This Row],[內容]],"zh-cht","id")</f>
        <v>Letakkan sayap ayam di keranjang air fryer, oleskan sedikit minyak di permukaannya.</v>
      </c>
    </row>
    <row r="45" spans="1:7" ht="17" x14ac:dyDescent="0.4">
      <c r="A45" s="20" t="str">
        <f>_xlfn.XLOOKUP(B45,表格1[ID],表格1[Dish])</f>
        <v>土匪雞翼</v>
      </c>
      <c r="B45" s="1" t="s">
        <v>135</v>
      </c>
      <c r="C45" s="1">
        <v>3</v>
      </c>
      <c r="D45" s="12" t="s">
        <v>442</v>
      </c>
      <c r="E45" s="1" t="str">
        <f>_xlfn.TRANSLATE(Steps[[#This Row],[內容]],"zh-cht","en")</f>
        <v>Fry at 180°C for about 10 minutes</v>
      </c>
      <c r="F45" s="1" t="str">
        <f>_xlfn.TRANSLATE(Steps[[#This Row],[內容]],"zh-cht","fil")</f>
        <v>Iprito sa 180°C ng mga 10 minuto</v>
      </c>
      <c r="G45" s="1" t="str">
        <f>_xlfn.TRANSLATE(Steps[[#This Row],[內容]],"zh-cht","id")</f>
        <v>Goreng pada suhu 180°C selama sekitar 10 menit</v>
      </c>
    </row>
    <row r="46" spans="1:7" x14ac:dyDescent="0.4">
      <c r="A46" s="20" t="str">
        <f>_xlfn.XLOOKUP(B46,表格1[ID],表格1[Dish])</f>
        <v>土匪雞翼</v>
      </c>
      <c r="B46" s="1" t="s">
        <v>135</v>
      </c>
      <c r="C46" s="1">
        <v>4</v>
      </c>
      <c r="D46" s="10" t="s">
        <v>435</v>
      </c>
      <c r="E46" s="1" t="str">
        <f>_xlfn.TRANSLATE(Steps[[#This Row],[內容]],"zh-cht","en")</f>
        <v>Turn on the air fryer and flip the chicken wings</v>
      </c>
      <c r="F46" s="1" t="str">
        <f>_xlfn.TRANSLATE(Steps[[#This Row],[內容]],"zh-cht","fil")</f>
        <v>Buksan ang air fryer at baliktarin ang mga pakpak ng manok</v>
      </c>
      <c r="G46" s="1" t="str">
        <f>_xlfn.TRANSLATE(Steps[[#This Row],[內容]],"zh-cht","id")</f>
        <v>Nyalakan air fryer dan balikkan sayap ayam</v>
      </c>
    </row>
    <row r="47" spans="1:7" ht="34" x14ac:dyDescent="0.4">
      <c r="A47" s="20" t="str">
        <f>_xlfn.XLOOKUP(B47,表格1[ID],表格1[Dish])</f>
        <v>土匪雞翼</v>
      </c>
      <c r="B47" s="1" t="s">
        <v>135</v>
      </c>
      <c r="C47" s="1">
        <v>5</v>
      </c>
      <c r="D47" s="10" t="s">
        <v>441</v>
      </c>
      <c r="E47" s="1" t="str">
        <f>_xlfn.TRANSLATE(Steps[[#This Row],[內容]],"zh-cht","en")</f>
        <v>Sprinkle a layer of cumin powder and black/white sesame seeds on top, then air fry at 180°C (or raise to 200°C to release fat) for another 3 to 5 minutes until the chicken skin is golden and crispy, then remove from heat</v>
      </c>
      <c r="F47" s="1" t="str">
        <f>_xlfn.TRANSLATE(Steps[[#This Row],[內容]],"zh-cht","fil")</f>
        <v>Budburan ng patong ng cumin powder at itim/puting linga sa ibabaw, pagkatapos ay i-air fry sa 180°C (o itaas sa 200°C para mawala ang taba) ng isa pang 3 hanggang 5 minuto hanggang maging ginto at malutong ang balat ng manok, pagkatapos ay alisin sa apoy</v>
      </c>
      <c r="G47" s="1" t="str">
        <f>_xlfn.TRANSLATE(Steps[[#This Row],[內容]],"zh-cht","id")</f>
        <v>Taburkan lapisan bubuk jintan dan biji wijen hitam/putih di atasnya, lalu goreng dengan udara pada suhu 180°C (atau tingkatkan hingga 200°C untuk melepaskan lemak) selama 3 hingga 5 menit lagi hingga kulit ayam berwarna keemasan dan renyah, lalu angkat dari api</v>
      </c>
    </row>
    <row r="48" spans="1:7" x14ac:dyDescent="0.4">
      <c r="A48" s="20" t="str">
        <f>_xlfn.XLOOKUP(B48,表格1[ID],表格1[Dish])</f>
        <v>涼伴雲耳</v>
      </c>
      <c r="B48" s="1" t="s">
        <v>136</v>
      </c>
      <c r="C48" s="1">
        <v>1</v>
      </c>
      <c r="D48" s="10" t="s">
        <v>453</v>
      </c>
      <c r="E48" s="1" t="str">
        <f>_xlfn.TRANSLATE(Steps[[#This Row],[內容]],"zh-cht","en")</f>
        <v>Soak the black fungus for 30 minutes, drain, and remove sand.</v>
      </c>
      <c r="F48" s="1" t="str">
        <f>_xlfn.TRANSLATE(Steps[[#This Row],[內容]],"zh-cht","fil")</f>
        <v>Ibabad ang itim na fungus ng 30 minuto, i-drain, at alisin ang buhangin.</v>
      </c>
      <c r="G48" s="1" t="str">
        <f>_xlfn.TRANSLATE(Steps[[#This Row],[內容]],"zh-cht","id")</f>
        <v>Rendam jamur hitam selama 30 menit, tiriskan, dan angkat pasir.</v>
      </c>
    </row>
    <row r="49" spans="1:7" x14ac:dyDescent="0.4">
      <c r="A49" s="20" t="str">
        <f>_xlfn.XLOOKUP(B49,表格1[ID],表格1[Dish])</f>
        <v>涼伴雲耳</v>
      </c>
      <c r="B49" s="1" t="s">
        <v>136</v>
      </c>
      <c r="C49" s="1">
        <v>2</v>
      </c>
      <c r="D49" s="10" t="s">
        <v>454</v>
      </c>
      <c r="E49" s="1" t="str">
        <f>_xlfn.TRANSLATE(Steps[[#This Row],[內容]],"zh-cht","en")</f>
        <v>Repeat the wash 3 times.</v>
      </c>
      <c r="F49" s="1" t="str">
        <f>_xlfn.TRANSLATE(Steps[[#This Row],[內容]],"zh-cht","fil")</f>
        <v>Ulitin ang paghuhugas ng 3 beses.</v>
      </c>
      <c r="G49" s="1" t="str">
        <f>_xlfn.TRANSLATE(Steps[[#This Row],[內容]],"zh-cht","id")</f>
        <v>Ulangi pencucian 3 kali.</v>
      </c>
    </row>
    <row r="50" spans="1:7" ht="17" x14ac:dyDescent="0.4">
      <c r="A50" s="20" t="str">
        <f>_xlfn.XLOOKUP(B50,表格1[ID],表格1[Dish])</f>
        <v>涼伴雲耳</v>
      </c>
      <c r="B50" s="1" t="s">
        <v>136</v>
      </c>
      <c r="C50" s="1">
        <v>3</v>
      </c>
      <c r="D50" s="10" t="s">
        <v>455</v>
      </c>
      <c r="E50" s="1" t="str">
        <f>_xlfn.TRANSLATE(Steps[[#This Row],[內容]],"zh-cht","en")</f>
        <v>Add the black fungus to the ice in cold water, boil for 2 minutes, then rinse with cold boiling water.</v>
      </c>
      <c r="F50" s="1" t="str">
        <f>_xlfn.TRANSLATE(Steps[[#This Row],[內容]],"zh-cht","fil")</f>
        <v>Idagdag ang itim na fungus sa yelo sa malamig na tubig, pakuluan ng 2 minuto, pagkatapos banlawan gamit ang malamig na kumukulong tubig.</v>
      </c>
      <c r="G50" s="1" t="str">
        <f>_xlfn.TRANSLATE(Steps[[#This Row],[內容]],"zh-cht","id")</f>
        <v>Tambahkan jamur hitam ke dalam es dalam air dingin, didihkan selama 2 menit, lalu bilas dengan air mendidih dingin.</v>
      </c>
    </row>
    <row r="51" spans="1:7" ht="17" x14ac:dyDescent="0.4">
      <c r="A51" s="20" t="str">
        <f>_xlfn.XLOOKUP(B51,表格1[ID],表格1[Dish])</f>
        <v>涼伴雲耳</v>
      </c>
      <c r="B51" s="1" t="s">
        <v>136</v>
      </c>
      <c r="C51" s="1">
        <v>4</v>
      </c>
      <c r="D51" s="10" t="s">
        <v>456</v>
      </c>
      <c r="E51" s="1" t="str">
        <f>_xlfn.TRANSLATE(Steps[[#This Row],[內容]],"zh-cht","en")</f>
        <v>Drain and mix to season. Store in the refrigerator</v>
      </c>
      <c r="F51" s="1" t="str">
        <f>_xlfn.TRANSLATE(Steps[[#This Row],[內容]],"zh-cht","fil")</f>
        <v>I-drain at haluin para sa season. Itago sa refrigerator</v>
      </c>
      <c r="G51" s="1" t="str">
        <f>_xlfn.TRANSLATE(Steps[[#This Row],[內容]],"zh-cht","id")</f>
        <v>Tiriskan dan aduk sesuai bumbu. Simpan di kulkas</v>
      </c>
    </row>
    <row r="52" spans="1:7" ht="17" x14ac:dyDescent="0.4">
      <c r="A52" s="20" t="str">
        <f>_xlfn.XLOOKUP(B52,表格1[ID],表格1[Dish])</f>
        <v>醬燒豆腐</v>
      </c>
      <c r="B52" s="1" t="s">
        <v>682</v>
      </c>
      <c r="C52" s="1">
        <v>1</v>
      </c>
      <c r="D52" s="5" t="s">
        <v>687</v>
      </c>
      <c r="E52" s="1" t="str">
        <f>_xlfn.TRANSLATE(Steps[[#This Row],[內容]],"zh-cht","en")</f>
        <v>Cut the tofu into 8 slices and set aside</v>
      </c>
      <c r="F52" s="1" t="str">
        <f>_xlfn.TRANSLATE(Steps[[#This Row],[內容]],"zh-cht","fil")</f>
        <v>Hiwain ang tofu sa 8 hiwa at itabi</v>
      </c>
      <c r="G52" s="1" t="str">
        <f>_xlfn.TRANSLATE(Steps[[#This Row],[內容]],"zh-cht","id")</f>
        <v>Potong tahu menjadi 8 iris dan sisihkan</v>
      </c>
    </row>
    <row r="53" spans="1:7" ht="17" x14ac:dyDescent="0.4">
      <c r="A53" s="20" t="str">
        <f>_xlfn.XLOOKUP(B53,表格1[ID],表格1[Dish])</f>
        <v>醬燒豆腐</v>
      </c>
      <c r="B53" s="1" t="s">
        <v>682</v>
      </c>
      <c r="C53" s="1">
        <v>2</v>
      </c>
      <c r="D53" s="2" t="s">
        <v>688</v>
      </c>
      <c r="E53" s="1" t="str">
        <f>_xlfn.TRANSLATE(Steps[[#This Row],[內容]],"zh-cht","en")</f>
        <v>Heat a small amount of oil in a pan, then add the egg and tofu, and pan-fry over medium heat until both sides are golden brown</v>
      </c>
      <c r="F53" s="1" t="str">
        <f>_xlfn.TRANSLATE(Steps[[#This Row],[內容]],"zh-cht","fil")</f>
        <v>Painitin ang kaunting mantika sa kawali, pagkatapos idagdag ang itlog at tofu, at iprito sa katamtamang init hanggang maging gintong kayumanggi ang magkabilang panig</v>
      </c>
      <c r="G53" s="1" t="str">
        <f>_xlfn.TRANSLATE(Steps[[#This Row],[內容]],"zh-cht","id")</f>
        <v>Panaskan sedikit minyak di wajan, lalu tambahkan telur dan tahu, lalu goreng di atas api sedang hingga kedua sisinya berwarna cokelat keemasan</v>
      </c>
    </row>
    <row r="54" spans="1:7" ht="17" x14ac:dyDescent="0.4">
      <c r="A54" s="20" t="str">
        <f>_xlfn.XLOOKUP(B54,表格1[ID],表格1[Dish])</f>
        <v>醬燒豆腐</v>
      </c>
      <c r="B54" s="1" t="s">
        <v>682</v>
      </c>
      <c r="C54" s="1">
        <v>3</v>
      </c>
      <c r="D54" s="2" t="s">
        <v>689</v>
      </c>
      <c r="E54" s="1" t="str">
        <f>_xlfn.TRANSLATE(Steps[[#This Row],[內容]],"zh-cht","en")</f>
        <v>Take a small piece of napkin, hold it with chopsticks, absorb excess oil from the pan, then add the seasonings. Once the tofu absorbs the sauce, it's ready</v>
      </c>
      <c r="F54" s="1" t="str">
        <f>_xlfn.TRANSLATE(Steps[[#This Row],[內容]],"zh-cht","fil")</f>
        <v>Kumuha ng maliit na piraso ng napkin, hawakan gamit ang chopsticks, sipsipin ang sobrang mantika mula sa kawali, tapos idagdag ang mga pampalasa. Kapag na-absorb na ng tofu ang sarsa, handa na ito</v>
      </c>
      <c r="G54" s="1" t="str">
        <f>_xlfn.TRANSLATE(Steps[[#This Row],[內容]],"zh-cht","id")</f>
        <v>Ambil sepotong kecil serbet, pegang dengan sumpit, serap minyak berlebih dari wajan, lalu tambahkan bumbu. Setelah tahu menyerap saus, sudah siap</v>
      </c>
    </row>
    <row r="55" spans="1:7" ht="17" x14ac:dyDescent="0.4">
      <c r="A55" s="20" t="str">
        <f>_xlfn.XLOOKUP(B55,表格1[ID],表格1[Dish])</f>
        <v>蒜香蒸豬五花高麗菜</v>
      </c>
      <c r="B55" s="1" t="s">
        <v>715</v>
      </c>
      <c r="C55" s="1">
        <v>1</v>
      </c>
      <c r="D55" s="2" t="s">
        <v>856</v>
      </c>
      <c r="E55" s="1" t="str">
        <f>_xlfn.TRANSLATE(Steps[[#This Row],[內容]],"zh-cht","en")</f>
        <v>Arrange the cabbage and pork belly slices evenly in the pan, then drizzle with Shaoxing wine (optional).</v>
      </c>
      <c r="F55" s="1" t="str">
        <f>_xlfn.TRANSLATE(Steps[[#This Row],[內容]],"zh-cht","fil")</f>
        <v>Ayusin nang pantay-pantay ang hiwa ng repolyo at pork belly sa kawali, pagkatapos ay ibuhos ng Shaoxing wine (opsyonal).</v>
      </c>
      <c r="G55" s="1" t="str">
        <f>_xlfn.TRANSLATE(Steps[[#This Row],[內容]],"zh-cht","id")</f>
        <v>Susun irisan kubis dan perut babi secara merata di wajan, lalu siram dengan anggur Shaoxing (opsional).</v>
      </c>
    </row>
    <row r="56" spans="1:7" ht="17" x14ac:dyDescent="0.4">
      <c r="A56" s="1" t="str">
        <f>_xlfn.XLOOKUP(B56,表格1[ID],表格1[Dish])</f>
        <v>蒜香蒸豬五花高麗菜</v>
      </c>
      <c r="B56" s="1" t="s">
        <v>715</v>
      </c>
      <c r="C56" s="1">
        <v>2</v>
      </c>
      <c r="D56" s="2" t="s">
        <v>857</v>
      </c>
      <c r="E56" s="1" t="str">
        <f>_xlfn.TRANSLATE(Steps[[#This Row],[內容]],"zh-cht","en")</f>
        <v>Cover the pot and simmer over low heat for 7-10 minutes until the meat slices are fully cooked</v>
      </c>
      <c r="F56" s="1" t="str">
        <f>_xlfn.TRANSLATE(Steps[[#This Row],[內容]],"zh-cht","fil")</f>
        <v>Takpan ang kaldero at pakuluan sa mababang init ng 7-10 minuto hanggang luto nang husto ang mga hiwa ng karne</v>
      </c>
      <c r="G56" s="1" t="str">
        <f>_xlfn.TRANSLATE(Steps[[#This Row],[內容]],"zh-cht","id")</f>
        <v>Tutup panci dan didihkan dengan api kecil selama 7-10 menit hingga irisan daging benar-benar matang</v>
      </c>
    </row>
    <row r="57" spans="1:7" ht="17" x14ac:dyDescent="0.4">
      <c r="A57" s="1" t="str">
        <f>_xlfn.XLOOKUP(B57,表格1[ID],表格1[Dish])</f>
        <v>蒜香蒸豬五花高麗菜</v>
      </c>
      <c r="B57" s="1" t="s">
        <v>715</v>
      </c>
      <c r="C57" s="1">
        <v>3</v>
      </c>
      <c r="D57" s="2" t="s">
        <v>858</v>
      </c>
      <c r="E57" s="1" t="str">
        <f>_xlfn.TRANSLATE(Steps[[#This Row],[內容]],"zh-cht","en")</f>
        <v>Mix the first four seasonings with minced garlic and pour over the meat slices.</v>
      </c>
      <c r="F57" s="1" t="str">
        <f>_xlfn.TRANSLATE(Steps[[#This Row],[內容]],"zh-cht","fil")</f>
        <v>Haluin ang unang apat na pampalasa sa giniling na bawang at ibuhos sa ibabaw ng mga hiwa ng karne.</v>
      </c>
      <c r="G57" s="1" t="str">
        <f>_xlfn.TRANSLATE(Steps[[#This Row],[內容]],"zh-cht","id")</f>
        <v>Campurkan empat bumbu pertama dengan bawang putih cincang dan tuangkan di atas irisan daging.</v>
      </c>
    </row>
    <row r="58" spans="1:7" ht="17" x14ac:dyDescent="0.4">
      <c r="A58" s="1" t="str">
        <f>_xlfn.XLOOKUP(B58,表格1[ID],表格1[Dish])</f>
        <v>豆腐肉捲</v>
      </c>
      <c r="B58" s="1" t="s">
        <v>718</v>
      </c>
      <c r="C58" s="1">
        <v>1</v>
      </c>
      <c r="D58" s="2" t="s">
        <v>865</v>
      </c>
      <c r="E58" s="1" t="str">
        <f>_xlfn.TRANSLATE(Steps[[#This Row],[內容]],"zh-cht","en")</f>
        <v>Wrap the tofu strips inside the meat slices and roll them up</v>
      </c>
      <c r="F58" s="1" t="str">
        <f>_xlfn.TRANSLATE(Steps[[#This Row],[內容]],"zh-cht","fil")</f>
        <v>Balutin ang mga hiwa ng tofu sa loob ng mga hiwa ng karne at i-roll ito</v>
      </c>
      <c r="G58" s="1" t="str">
        <f>_xlfn.TRANSLATE(Steps[[#This Row],[內容]],"zh-cht","id")</f>
        <v>Bungkus irisan tahu di dalam irisan daging dan gulung</v>
      </c>
    </row>
    <row r="59" spans="1:7" ht="17" x14ac:dyDescent="0.4">
      <c r="A59" s="1" t="str">
        <f>_xlfn.XLOOKUP(B59,表格1[ID],表格1[Dish])</f>
        <v>豆腐肉捲</v>
      </c>
      <c r="B59" s="1" t="s">
        <v>718</v>
      </c>
      <c r="C59" s="1">
        <v>2</v>
      </c>
      <c r="D59" s="2" t="s">
        <v>866</v>
      </c>
      <c r="E59" s="1" t="str">
        <f>_xlfn.TRANSLATE(Steps[[#This Row],[內容]],"zh-cht","en")</f>
        <v>Heat a small amount of oil in the pan, then pan-fry the meat seams facing down over medium-low heat. If you have leftover tofu, you can also add it to the pan to fry together</v>
      </c>
      <c r="F59" s="1" t="str">
        <f>_xlfn.TRANSLATE(Steps[[#This Row],[內容]],"zh-cht","fil")</f>
        <v>Painitin ang kaunting mantika sa kawali, pagkatapos ay iprito ang mga seam ng karne na nakaharap pababa sa medium-low na init. Kung may natirang tofu, maaari mo rin itong idagdag sa kawali para iprito nang sabay-sabay</v>
      </c>
      <c r="G59" s="1" t="str">
        <f>_xlfn.TRANSLATE(Steps[[#This Row],[內容]],"zh-cht","id")</f>
        <v>Panaskan sedikit minyak di wajan, lalu goreng bagian daging menghadap ke bawah dengan api sedang-rendah. Jika Anda punya tahu sisa, Anda juga bisa menambahkannya ke wajan untuk digoreng bersama</v>
      </c>
    </row>
    <row r="60" spans="1:7" ht="17" x14ac:dyDescent="0.4">
      <c r="A60" s="1" t="str">
        <f>_xlfn.XLOOKUP(B60,表格1[ID],表格1[Dish])</f>
        <v>豆腐肉捲</v>
      </c>
      <c r="B60" s="1" t="s">
        <v>718</v>
      </c>
      <c r="C60" s="1">
        <v>3</v>
      </c>
      <c r="D60" s="2" t="s">
        <v>867</v>
      </c>
      <c r="E60" s="1" t="str">
        <f>_xlfn.TRANSLATE(Steps[[#This Row],[內容]],"zh-cht","en")</f>
        <v>Once every side of the meat is cooked, pour the seasonings over it. Stir the meat occasionally to ensure the sauce absorbs evenly. Once the sauce thickens and the meat rolls are colored and flavorful, it's ready</v>
      </c>
      <c r="F60" s="1" t="str">
        <f>_xlfn.TRANSLATE(Steps[[#This Row],[內容]],"zh-cht","fil")</f>
        <v>Kapag luto na ang bawat gilid ng karne, ibuhos ang mga pampalasa dito. Haluin paminsan-minsan ang karne para pantay ang pagsipsip ng sarsa. Kapag lumapot na ang sarsa at may kulay at lasa na ang meat rolls, handa na ito</v>
      </c>
      <c r="G60" s="1" t="str">
        <f>_xlfn.TRANSLATE(Steps[[#This Row],[內容]],"zh-cht","id")</f>
        <v>Setelah setiap sisi daging matang, tuangkan bumbu di atasnya. Aduk daging sesekali agar saus terserap secara merata. Setelah saus mengental dan daging berwarna serta beraroma lezat, saus siap</v>
      </c>
    </row>
    <row r="61" spans="1:7" ht="17" x14ac:dyDescent="0.4">
      <c r="A61" s="1" t="str">
        <f>_xlfn.XLOOKUP(B61,表格1[ID],表格1[Dish])</f>
        <v>和風洋葱蛋花湯</v>
      </c>
      <c r="B61" s="1" t="s">
        <v>840</v>
      </c>
      <c r="C61" s="1">
        <v>1</v>
      </c>
      <c r="D61" s="5" t="s">
        <v>1071</v>
      </c>
      <c r="E61" s="1" t="str">
        <f>_xlfn.TRANSLATE(Steps[[#This Row],[內容]],"zh-cht","en")</f>
        <v>Cut the onion into thin strips and stir-fry over medium-low heat until golden brown</v>
      </c>
      <c r="F61" s="1" t="str">
        <f>_xlfn.TRANSLATE(Steps[[#This Row],[內容]],"zh-cht","fil")</f>
        <v>Hiwain ang sibuyas sa manipis na piraso at igisa sa medium-low heat hanggang gintong kayumanggi</v>
      </c>
      <c r="G61" s="1" t="str">
        <f>_xlfn.TRANSLATE(Steps[[#This Row],[內容]],"zh-cht","id")</f>
        <v>Potong bawang bombay menjadi irisan tipis dan tumis dengan api sedang-rendah hingga cokelat keemasan</v>
      </c>
    </row>
    <row r="62" spans="1:7" ht="17" x14ac:dyDescent="0.4">
      <c r="A62" s="1" t="str">
        <f>_xlfn.XLOOKUP(B62,表格1[ID],表格1[Dish])</f>
        <v>和風洋葱蛋花湯</v>
      </c>
      <c r="B62" s="1" t="s">
        <v>840</v>
      </c>
      <c r="C62" s="1">
        <v>2</v>
      </c>
      <c r="D62" s="5" t="s">
        <v>1072</v>
      </c>
      <c r="E62" s="1" t="str">
        <f>_xlfn.TRANSLATE(Steps[[#This Row],[內容]],"zh-cht","en")</f>
        <v>Bring water to a boil, add the soup dumplings and cook for 5 minutes, then remove the broth packets</v>
      </c>
      <c r="F62" s="1" t="str">
        <f>_xlfn.TRANSLATE(Steps[[#This Row],[內容]],"zh-cht","fil")</f>
        <v>Pakuluan ang tubig, idagdag ang soup dumplings at lutuin ng 5 minuto, pagkatapos ay alisin ang mga pakete ng sabaw</v>
      </c>
      <c r="G62" s="1" t="str">
        <f>_xlfn.TRANSLATE(Steps[[#This Row],[內容]],"zh-cht","id")</f>
        <v>Didihkan air, tambahkan pangsit sup dan masak selama 5 menit, lalu keluarkan bungkus kaldu</v>
      </c>
    </row>
    <row r="63" spans="1:7" ht="17" x14ac:dyDescent="0.4">
      <c r="A63" s="1" t="str">
        <f>_xlfn.XLOOKUP(B63,表格1[ID],表格1[Dish])</f>
        <v>和風洋葱蛋花湯</v>
      </c>
      <c r="B63" s="1" t="s">
        <v>840</v>
      </c>
      <c r="C63" s="1">
        <v>3</v>
      </c>
      <c r="D63" s="2" t="s">
        <v>1073</v>
      </c>
      <c r="E63" s="1" t="str">
        <f>_xlfn.TRANSLATE(Steps[[#This Row],[內容]],"zh-cht","en")</f>
        <v>Crack in the egg mixture and season with salt and black pepper</v>
      </c>
      <c r="F63" s="1" t="str">
        <f>_xlfn.TRANSLATE(Steps[[#This Row],[內容]],"zh-cht","fil")</f>
        <v>Basagin ang halo ng itlog at timplahan ng asin at itim na paminta</v>
      </c>
      <c r="G63" s="1" t="str">
        <f>_xlfn.TRANSLATE(Steps[[#This Row],[內容]],"zh-cht","id")</f>
        <v>Pecahkan campuran telur dan bumbui dengan garam serta lada hitam</v>
      </c>
    </row>
    <row r="64" spans="1:7" ht="17" x14ac:dyDescent="0.4">
      <c r="A64" s="1" t="str">
        <f>_xlfn.XLOOKUP(B64,表格1[ID],表格1[Dish])</f>
        <v>梅汁涼拌秋葵</v>
      </c>
      <c r="B64" s="1" t="s">
        <v>786</v>
      </c>
      <c r="C64" s="1">
        <v>1</v>
      </c>
      <c r="D64" s="2" t="s">
        <v>1074</v>
      </c>
      <c r="E64" s="1" t="str">
        <f>_xlfn.TRANSLATE(Steps[[#This Row],[內容]],"zh-cht","en")</f>
        <v>Sprinkle a handful of salt on the anvil, place the okra on top, and roll it by hand to remove fine fuzz. Next, wash the okra and use a knife to remove the outer skin from the edges of the stem</v>
      </c>
      <c r="F64" s="1" t="str">
        <f>_xlfn.TRANSLATE(Steps[[#This Row],[內容]],"zh-cht","fil")</f>
        <v>Budburan ng ilang dakot ng asin ang anvil, ilagay ang okra sa ibabaw, at igulong ito nang mano-mano para matanggal ang pinong balahibo. Sunod, hugasan ang okra at gamitin ang kutsilyo para tanggalin ang panlabas na balat sa gilid ng tangkay</v>
      </c>
      <c r="G64" s="1" t="str">
        <f>_xlfn.TRANSLATE(Steps[[#This Row],[內容]],"zh-cht","id")</f>
        <v>Taburkan segenggam garam di landasan, letakkan okra di atasnya, dan gulung dengan tangan untuk menghilangkan bulu halus. Selanjutnya, cuci okra dan gunakan pisau untuk menghilangkan kulit luar dari tepi batang</v>
      </c>
    </row>
    <row r="65" spans="1:7" ht="17" x14ac:dyDescent="0.4">
      <c r="A65" s="1" t="str">
        <f>_xlfn.XLOOKUP(B65,表格1[ID],表格1[Dish])</f>
        <v>梅汁涼拌秋葵</v>
      </c>
      <c r="B65" s="1" t="s">
        <v>786</v>
      </c>
      <c r="C65" s="1">
        <v>2</v>
      </c>
      <c r="D65" s="2" t="s">
        <v>1075</v>
      </c>
      <c r="E65" s="1" t="str">
        <f>_xlfn.TRANSLATE(Steps[[#This Row],[內容]],"zh-cht","en")</f>
        <v>Boil in hot water for 3 minutes, then chill in ice water after removing from heat</v>
      </c>
      <c r="F65" s="1" t="str">
        <f>_xlfn.TRANSLATE(Steps[[#This Row],[內容]],"zh-cht","fil")</f>
        <v>Pakuluan sa mainit na tubig ng 3 minuto, pagkatapos ay palamigin sa malamig na tubig pagkatapos alisin sa apoy</v>
      </c>
      <c r="G65" s="1" t="str">
        <f>_xlfn.TRANSLATE(Steps[[#This Row],[內容]],"zh-cht","id")</f>
        <v>Didihkan dalam air panas selama 3 menit, lalu dinginkan dalam air es setelah diangkat dari api</v>
      </c>
    </row>
    <row r="66" spans="1:7" ht="17" x14ac:dyDescent="0.4">
      <c r="A66" s="1" t="str">
        <f>_xlfn.XLOOKUP(B66,表格1[ID],表格1[Dish])</f>
        <v>梅汁涼拌秋葵</v>
      </c>
      <c r="B66" s="1" t="s">
        <v>786</v>
      </c>
      <c r="C66" s="1">
        <v>3</v>
      </c>
      <c r="D66" s="2" t="s">
        <v>1076</v>
      </c>
      <c r="E66" s="1" t="str">
        <f>_xlfn.TRANSLATE(Steps[[#This Row],[內容]],"zh-cht","en")</f>
        <v>Drizzle with plum juice and soy sauce to finish (the syrup in store-bought pickled plum jars can be used to make it).</v>
      </c>
      <c r="F66" s="1" t="str">
        <f>_xlfn.TRANSLATE(Steps[[#This Row],[內容]],"zh-cht","fil")</f>
        <v>Budburan ng katas ng plum at toyo bilang pangwakas (ang syrup sa mga pickled plum jar na binibili sa tindahan ay maaaring gamitin para gawin ito).</v>
      </c>
      <c r="G66" s="1" t="str">
        <f>_xlfn.TRANSLATE(Steps[[#This Row],[內容]],"zh-cht","id")</f>
        <v>Siram dengan jus plum dan kecap asin untuk melengkapi (sirup dalam toples plum acar yang dibeli di toko bisa digunakan untuk membuatnya).</v>
      </c>
    </row>
    <row r="67" spans="1:7" ht="17" x14ac:dyDescent="0.4">
      <c r="A67" s="1" t="str">
        <f>_xlfn.XLOOKUP(B67,表格1[ID],表格1[Dish])</f>
        <v>野菜炒豬肉</v>
      </c>
      <c r="B67" s="1" t="s">
        <v>724</v>
      </c>
      <c r="C67" s="1">
        <v>1</v>
      </c>
      <c r="D67" s="5" t="s">
        <v>1090</v>
      </c>
      <c r="E67" s="1" t="str">
        <f>_xlfn.TRANSLATE(Steps[[#This Row],[內容]],"zh-cht","en")</f>
        <v>Marinate the pork slices with 2 teaspoons of light soy sauce, peel the cabbage into small pieces, slice the carrot, cut the scallion into sections, and slice the garlic for later use.</v>
      </c>
      <c r="F67" s="1" t="str">
        <f>_xlfn.TRANSLATE(Steps[[#This Row],[內容]],"zh-cht","fil")</f>
        <v>I-marinate ang mga hiwa ng baboy gamit ang 2 kutsarita ng magaan na toyo, balatan ang repolyo sa maliliit na piraso, hiwain ang karot, hiwain ang scallion sa mga bahagi, at hiwain ang bawang para magamit sa susunod.</v>
      </c>
      <c r="G67" s="1" t="str">
        <f>_xlfn.TRANSLATE(Steps[[#This Row],[內容]],"zh-cht","id")</f>
        <v>Marinasi irisan babi dengan 2 sendok teh kecap asin ringan, kupas kubis menjadi potongan-potongan kecil, iris wortel, potong daun bawang menjadi beberapa bagian, dan iris bawang putih untuk digunakan nanti.</v>
      </c>
    </row>
    <row r="68" spans="1:7" ht="17" x14ac:dyDescent="0.4">
      <c r="A68" s="1" t="str">
        <f>_xlfn.XLOOKUP(B68,表格1[ID],表格1[Dish])</f>
        <v>野菜炒豬肉</v>
      </c>
      <c r="B68" s="1" t="s">
        <v>724</v>
      </c>
      <c r="C68" s="1">
        <v>2</v>
      </c>
      <c r="D68" s="2" t="s">
        <v>1088</v>
      </c>
      <c r="E68" s="1" t="str">
        <f>_xlfn.TRANSLATE(Steps[[#This Row],[內容]],"zh-cht","en")</f>
        <v>Heat a pan with an appropriate amount of sesame oil, then add the pork slices and stir-fry until cooked</v>
      </c>
      <c r="F68" s="1" t="str">
        <f>_xlfn.TRANSLATE(Steps[[#This Row],[內容]],"zh-cht","fil")</f>
        <v>Painitin ang kawali na may tamang dami ng sesame oil, pagkatapos idagdag ang mga hiwa ng baboy at igisa hanggang maluto</v>
      </c>
      <c r="G68" s="1" t="str">
        <f>_xlfn.TRANSLATE(Steps[[#This Row],[內容]],"zh-cht","id")</f>
        <v>Panaskan wajan dengan minyak wijen yang sesuai, lalu tambahkan irisan babi dan tumis sampai matang</v>
      </c>
    </row>
    <row r="69" spans="1:7" ht="17" x14ac:dyDescent="0.4">
      <c r="A69" s="1" t="str">
        <f>_xlfn.XLOOKUP(B69,表格1[ID],表格1[Dish])</f>
        <v>野菜炒豬肉</v>
      </c>
      <c r="B69" s="1" t="s">
        <v>724</v>
      </c>
      <c r="C69" s="1">
        <v>3</v>
      </c>
      <c r="D69" s="2" t="s">
        <v>1089</v>
      </c>
      <c r="E69" s="1" t="str">
        <f>_xlfn.TRANSLATE(Steps[[#This Row],[內容]],"zh-cht","en")</f>
        <v>Add cabbage and carrot slices and stir-fry until soft</v>
      </c>
      <c r="F69" s="1" t="str">
        <f>_xlfn.TRANSLATE(Steps[[#This Row],[內容]],"zh-cht","fil")</f>
        <v>Idagdag ang hiwa ng repolyo at karot at igisa hanggang lumambot</v>
      </c>
      <c r="G69" s="1" t="str">
        <f>_xlfn.TRANSLATE(Steps[[#This Row],[內容]],"zh-cht","id")</f>
        <v>Tambahkan irisan kubis dan wortel lalu tumis hingga lunak</v>
      </c>
    </row>
    <row r="70" spans="1:7" ht="17" x14ac:dyDescent="0.4">
      <c r="A70" s="1" t="str">
        <f>_xlfn.XLOOKUP(B70,表格1[ID],表格1[Dish])</f>
        <v>野菜炒豬肉</v>
      </c>
      <c r="B70" s="1" t="s">
        <v>724</v>
      </c>
      <c r="C70" s="1">
        <v>4</v>
      </c>
      <c r="D70" s="2" t="s">
        <v>1091</v>
      </c>
      <c r="E70" s="1" t="str">
        <f>_xlfn.TRANSLATE(Steps[[#This Row],[內容]],"zh-cht","en")</f>
        <v>Add the bean sprouts, scallion sections, and garlic slices, and stir-fry</v>
      </c>
      <c r="F70" s="1" t="str">
        <f>_xlfn.TRANSLATE(Steps[[#This Row],[內容]],"zh-cht","fil")</f>
        <v>Idagdag ang bean sprouts, seksyon ng scallion, at hiwa ng bawang, at igisa</v>
      </c>
      <c r="G70" s="1" t="str">
        <f>_xlfn.TRANSLATE(Steps[[#This Row],[內容]],"zh-cht","id")</f>
        <v>Tambahkan tauge, bagian daun bawang, dan irisan bawang putih, lalu tumis</v>
      </c>
    </row>
    <row r="71" spans="1:7" ht="17" x14ac:dyDescent="0.4">
      <c r="A71" s="1" t="str">
        <f>_xlfn.XLOOKUP(B71,表格1[ID],表格1[Dish])</f>
        <v>野菜炒豬肉</v>
      </c>
      <c r="B71" s="1" t="s">
        <v>724</v>
      </c>
      <c r="C71" s="1">
        <v>5</v>
      </c>
      <c r="D71" s="2" t="s">
        <v>1092</v>
      </c>
      <c r="E71" s="1" t="str">
        <f>_xlfn.TRANSLATE(Steps[[#This Row],[內容]],"zh-cht","en")</f>
        <v>Add the seasoning. Taste it</v>
      </c>
      <c r="F71" s="1" t="str">
        <f>_xlfn.TRANSLATE(Steps[[#This Row],[內容]],"zh-cht","fil")</f>
        <v>Idagdag ang pampalasa. Tikman mo</v>
      </c>
      <c r="G71" s="1" t="str">
        <f>_xlfn.TRANSLATE(Steps[[#This Row],[內容]],"zh-cht","id")</f>
        <v>Tambahkan bumbu. Cicipi</v>
      </c>
    </row>
    <row r="72" spans="1:7" x14ac:dyDescent="0.4">
      <c r="A72" s="1" t="str">
        <f>_xlfn.XLOOKUP(B72,表格1[ID],表格1[Dish])</f>
        <v>拍青瓜</v>
      </c>
      <c r="B72" s="1" t="s">
        <v>137</v>
      </c>
      <c r="C72" s="1">
        <v>1</v>
      </c>
      <c r="D72" s="10" t="s">
        <v>1100</v>
      </c>
      <c r="E72" s="1" t="str">
        <f>_xlfn.TRANSLATE(Steps[[#This Row],[內容]],"zh-cht","en")</f>
        <v>Cut the cucumber into small sections and gently smash it with a knife.</v>
      </c>
      <c r="F72" s="1" t="str">
        <f>_xlfn.TRANSLATE(Steps[[#This Row],[內容]],"zh-cht","fil")</f>
        <v>Hiwain ang pipino sa maliliit na bahagi at dahan-dahang durugin gamit ang kutsilyo.</v>
      </c>
      <c r="G72" s="1" t="str">
        <f>_xlfn.TRANSLATE(Steps[[#This Row],[內容]],"zh-cht","id")</f>
        <v>Potong mentimun menjadi beberapa bagian kecil dan hancurkan dengan pisau dengan lembut.</v>
      </c>
    </row>
    <row r="73" spans="1:7" x14ac:dyDescent="0.4">
      <c r="A73" s="1" t="str">
        <f>_xlfn.XLOOKUP(B73,表格1[ID],表格1[Dish])</f>
        <v>拍青瓜</v>
      </c>
      <c r="B73" s="1" t="s">
        <v>137</v>
      </c>
      <c r="C73" s="1">
        <v>2</v>
      </c>
      <c r="D73" s="10" t="s">
        <v>1099</v>
      </c>
      <c r="E73" s="1" t="str">
        <f>_xlfn.TRANSLATE(Steps[[#This Row],[內容]],"zh-cht","en")</f>
        <v>Marinate with salt for 10 minutes, then pour over the cucumber water.</v>
      </c>
      <c r="F73" s="1" t="str">
        <f>_xlfn.TRANSLATE(Steps[[#This Row],[內容]],"zh-cht","fil")</f>
        <v>I-marinate gamit ang asin ng 10 minuto, pagkatapos ay ibuhos sa ibabaw ng tubig ng pipino.</v>
      </c>
      <c r="G73" s="1" t="str">
        <f>_xlfn.TRANSLATE(Steps[[#This Row],[內容]],"zh-cht","id")</f>
        <v>Rendam dengan garam selama 10 menit, lalu tuangkan di atas air mentimun.</v>
      </c>
    </row>
    <row r="74" spans="1:7" x14ac:dyDescent="0.4">
      <c r="A74" s="1" t="str">
        <f>_xlfn.XLOOKUP(B74,表格1[ID],表格1[Dish])</f>
        <v>拍青瓜</v>
      </c>
      <c r="B74" s="1" t="s">
        <v>137</v>
      </c>
      <c r="C74" s="1">
        <v>3</v>
      </c>
      <c r="D74" s="10" t="s">
        <v>1098</v>
      </c>
      <c r="E74" s="1" t="str">
        <f>_xlfn.TRANSLATE(Steps[[#This Row],[內容]],"zh-cht","en")</f>
        <v>Pour in the seasonings and stir, then add them to the cucumber.</v>
      </c>
      <c r="F74" s="1" t="str">
        <f>_xlfn.TRANSLATE(Steps[[#This Row],[內容]],"zh-cht","fil")</f>
        <v>Ibuhos ang mga pampalasa at haluin, pagkatapos idagdag sa pipino.</v>
      </c>
      <c r="G74" s="1" t="str">
        <f>_xlfn.TRANSLATE(Steps[[#This Row],[內容]],"zh-cht","id")</f>
        <v>Tuangkan bumbu dan aduk, lalu tambahkan ke mentimun.</v>
      </c>
    </row>
    <row r="75" spans="1:7" x14ac:dyDescent="0.4">
      <c r="A75" s="1" t="str">
        <f>_xlfn.XLOOKUP(B75,表格1[ID],表格1[Dish])</f>
        <v>涼拌雞絲</v>
      </c>
      <c r="B75" s="1" t="s">
        <v>138</v>
      </c>
      <c r="C75" s="1">
        <v>1</v>
      </c>
      <c r="D75" s="10" t="s">
        <v>1115</v>
      </c>
      <c r="E75" s="1" t="str">
        <f>_xlfn.TRANSLATE(Steps[[#This Row],[內容]],"zh-cht","en")</f>
        <v>Steam the chicken, let it cool, and tear it into strips by hand.</v>
      </c>
      <c r="F75" s="1" t="str">
        <f>_xlfn.TRANSLATE(Steps[[#This Row],[內容]],"zh-cht","fil")</f>
        <v>I-steam ang manok, hayaan itong lumamig, at punitin ito sa mga piraso gamit ang kamay.</v>
      </c>
      <c r="G75" s="1" t="str">
        <f>_xlfn.TRANSLATE(Steps[[#This Row],[內容]],"zh-cht","id")</f>
        <v>Kukus ayam, biarkan dingin, lalu sobek menjadi strip dengan tangan.</v>
      </c>
    </row>
    <row r="76" spans="1:7" x14ac:dyDescent="0.4">
      <c r="A76" s="1" t="str">
        <f>_xlfn.XLOOKUP(B76,表格1[ID],表格1[Dish])</f>
        <v>涼拌雞絲</v>
      </c>
      <c r="B76" s="1" t="s">
        <v>138</v>
      </c>
      <c r="C76" s="1">
        <v>2</v>
      </c>
      <c r="D76" s="10" t="s">
        <v>1114</v>
      </c>
      <c r="E76" s="1" t="str">
        <f>_xlfn.TRANSLATE(Steps[[#This Row],[內容]],"zh-cht","en")</f>
        <v>Stir-fry five-spice powder and salt (or use pepper salt) in a white wok until fragrant.</v>
      </c>
      <c r="F76" s="1" t="str">
        <f>_xlfn.TRANSLATE(Steps[[#This Row],[內容]],"zh-cht","fil")</f>
        <v>I-stir fry ang five-spice powder at asin (o gumamit ng pepper salt) sa puting wok hanggang maging mabango.</v>
      </c>
      <c r="G76" s="1" t="str">
        <f>_xlfn.TRANSLATE(Steps[[#This Row],[內容]],"zh-cht","id")</f>
        <v>Tumis bubuk lima bumbu dan garam (atau gunakan garam merica) dalam wajan putih hingga harum.</v>
      </c>
    </row>
    <row r="77" spans="1:7" x14ac:dyDescent="0.4">
      <c r="A77" s="1" t="str">
        <f>_xlfn.XLOOKUP(B77,表格1[ID],表格1[Dish])</f>
        <v>涼拌雞絲</v>
      </c>
      <c r="B77" s="1" t="s">
        <v>138</v>
      </c>
      <c r="C77" s="1">
        <v>3</v>
      </c>
      <c r="D77" s="10" t="s">
        <v>1113</v>
      </c>
      <c r="E77" s="1" t="str">
        <f>_xlfn.TRANSLATE(Steps[[#This Row],[內容]],"zh-cht","en")</f>
        <v>Mix the sautéed flour with chicken bouillon powder and shredded chicken, then refrigerate.</v>
      </c>
      <c r="F77" s="1" t="str">
        <f>_xlfn.TRANSLATE(Steps[[#This Row],[內容]],"zh-cht","fil")</f>
        <v>Ihalo ang ginisa na harina sa chicken bouillon powder at shredded chicken, pagkatapos ay ilagay sa refrigerator.</v>
      </c>
      <c r="G77" s="1" t="str">
        <f>_xlfn.TRANSLATE(Steps[[#This Row],[內容]],"zh-cht","id")</f>
        <v>Campurkan tepung tumis dengan bubuk kaldu ayam dan ayam parut, lalu simpan di kulkas.</v>
      </c>
    </row>
    <row r="78" spans="1:7" x14ac:dyDescent="0.4">
      <c r="A78" s="1" t="str">
        <f>_xlfn.XLOOKUP(B78,表格1[ID],表格1[Dish])</f>
        <v>涼拌雞絲</v>
      </c>
      <c r="B78" s="1" t="s">
        <v>138</v>
      </c>
      <c r="C78" s="1">
        <v>4</v>
      </c>
      <c r="D78" s="10" t="s">
        <v>1112</v>
      </c>
      <c r="E78" s="1" t="str">
        <f>_xlfn.TRANSLATE(Steps[[#This Row],[內容]],"zh-cht","en")</f>
        <v>Before serving, pour in sesame oil and white sesame seeds for garnish.</v>
      </c>
      <c r="F78" s="1" t="str">
        <f>_xlfn.TRANSLATE(Steps[[#This Row],[內容]],"zh-cht","fil")</f>
        <v>Bago ihain, ibuhos ang langis ng linga at puting buto ng linga bilang palamuti.</v>
      </c>
      <c r="G78" s="1" t="str">
        <f>_xlfn.TRANSLATE(Steps[[#This Row],[內容]],"zh-cht","id")</f>
        <v>Sebelum disajikan, tuangkan minyak wijen dan biji wijen putih sebagai hiasan.</v>
      </c>
    </row>
    <row r="79" spans="1:7" x14ac:dyDescent="0.4">
      <c r="A79" s="1" t="str">
        <f>_xlfn.XLOOKUP(B79,表格1[ID],表格1[Dish])</f>
        <v>薑汁撞奶</v>
      </c>
      <c r="B79" s="1" t="s">
        <v>143</v>
      </c>
      <c r="C79" s="1">
        <v>1</v>
      </c>
      <c r="D79" s="10" t="s">
        <v>1119</v>
      </c>
      <c r="E79" s="1" t="str">
        <f>_xlfn.TRANSLATE(Steps[[#This Row],[內容]],"zh-cht","en")</f>
        <v>Use the bowl to hold the milk, measure the milk, and grind ginger juice for later use.</v>
      </c>
      <c r="F79" s="1" t="str">
        <f>_xlfn.TRANSLATE(Steps[[#This Row],[內容]],"zh-cht","fil")</f>
        <v>Gamitin ang mangkok para hawakan ang gatas, sukatin ang gatas, at gilingin ang katas ng luya para magamit sa susunod.</v>
      </c>
      <c r="G79" s="1" t="str">
        <f>_xlfn.TRANSLATE(Steps[[#This Row],[內容]],"zh-cht","id")</f>
        <v>Gunakan mangkuk untuk menahan susu, mengukur susu, dan menggiling jus jahe untuk digunakan nanti.</v>
      </c>
    </row>
    <row r="80" spans="1:7" x14ac:dyDescent="0.4">
      <c r="A80" s="1" t="str">
        <f>_xlfn.XLOOKUP(B80,表格1[ID],表格1[Dish])</f>
        <v>薑汁撞奶</v>
      </c>
      <c r="B80" s="1" t="s">
        <v>143</v>
      </c>
      <c r="C80" s="1">
        <v>2</v>
      </c>
      <c r="D80" s="10" t="s">
        <v>1118</v>
      </c>
      <c r="E80" s="1" t="str">
        <f>_xlfn.TRANSLATE(Steps[[#This Row],[內容]],"zh-cht","en")</f>
        <v>When boiling milk, use medium-low heat. Be careful not to boil it, stirring constantly until small bubbles appear on the edges.</v>
      </c>
      <c r="F80" s="1" t="str">
        <f>_xlfn.TRANSLATE(Steps[[#This Row],[內容]],"zh-cht","fil")</f>
        <v>Kapag nagpapakulo ng gatas, gumamit ng medium-low na init. Mag-ingat na huwag ito pakuluan, patuloy na haluin hanggang lumitaw ang maliliit na bula sa mga gilid.</v>
      </c>
      <c r="G80" s="1" t="str">
        <f>_xlfn.TRANSLATE(Steps[[#This Row],[內容]],"zh-cht","id")</f>
        <v>Saat merebus susu, gunakan api sedang-rendah. Hati-hati agar tidak merebus, aduk terus-menerus hingga muncul gelembung kecil di tepinya.</v>
      </c>
    </row>
    <row r="81" spans="1:7" x14ac:dyDescent="0.4">
      <c r="A81" s="1" t="str">
        <f>_xlfn.XLOOKUP(B81,表格1[ID],表格1[Dish])</f>
        <v>薑汁撞奶</v>
      </c>
      <c r="B81" s="1" t="s">
        <v>143</v>
      </c>
      <c r="C81" s="1">
        <v>3</v>
      </c>
      <c r="D81" s="10" t="s">
        <v>1117</v>
      </c>
      <c r="E81" s="1" t="str">
        <f>_xlfn.TRANSLATE(Steps[[#This Row],[內容]],"zh-cht","en")</f>
        <v>Pour the cooked milk into a cold pot and pour it back and forth ten times.</v>
      </c>
      <c r="F81" s="1" t="str">
        <f>_xlfn.TRANSLATE(Steps[[#This Row],[內容]],"zh-cht","fil")</f>
        <v>Ibuhos ang nilutong gatas sa malamig na kaldero at ibuhos ito nang paulit-ulit ng sampung beses.</v>
      </c>
      <c r="G81" s="1" t="str">
        <f>_xlfn.TRANSLATE(Steps[[#This Row],[內容]],"zh-cht","id")</f>
        <v>Tuang susu yang sudah matang ke dalam panci dingin dan tuangkan bolak-balik sepuluh kali.</v>
      </c>
    </row>
    <row r="82" spans="1:7" x14ac:dyDescent="0.4">
      <c r="A82" s="1" t="str">
        <f>_xlfn.XLOOKUP(B82,表格1[ID],表格1[Dish])</f>
        <v>薑汁撞奶</v>
      </c>
      <c r="B82" s="1" t="s">
        <v>143</v>
      </c>
      <c r="C82" s="1">
        <v>4</v>
      </c>
      <c r="D82" s="10" t="s">
        <v>1116</v>
      </c>
      <c r="E82" s="1" t="str">
        <f>_xlfn.TRANSLATE(Steps[[#This Row],[內容]],"zh-cht","en")</f>
        <v>Divide the ginger juice into a bowl, pour the milk into it, and let it rest for at least 1 minute to finish.</v>
      </c>
      <c r="F82" s="1" t="str">
        <f>_xlfn.TRANSLATE(Steps[[#This Row],[內容]],"zh-cht","fil")</f>
        <v>Hatiin ang katas ng luya sa isang mangkok, ibuhos ang gatas dito, at hayaang magpahinga ng hindi bababa sa 1 minuto para matapos.</v>
      </c>
      <c r="G82" s="1" t="str">
        <f>_xlfn.TRANSLATE(Steps[[#This Row],[內容]],"zh-cht","id")</f>
        <v>Bagi jus jahe ke dalam mangkuk, tuangkan susu ke dalamnya, dan biarkan istirahat setidaknya 1 menit agar selesai.</v>
      </c>
    </row>
    <row r="83" spans="1:7" x14ac:dyDescent="0.4">
      <c r="A83" s="1" t="str">
        <f>_xlfn.XLOOKUP(B83,表格1[ID],表格1[Dish])</f>
        <v>洋葱豬排</v>
      </c>
      <c r="B83" s="1" t="s">
        <v>144</v>
      </c>
      <c r="C83" s="1">
        <v>1</v>
      </c>
      <c r="D83" s="10" t="s">
        <v>1123</v>
      </c>
      <c r="E83" s="1" t="str">
        <f>_xlfn.TRANSLATE(Steps[[#This Row],[內容]],"zh-cht","en")</f>
        <v>Soak the pork chops in salt water for about half an hour to absorb the blood and odor, then dry them.</v>
      </c>
      <c r="F83" s="1" t="str">
        <f>_xlfn.TRANSLATE(Steps[[#This Row],[內容]],"zh-cht","fil")</f>
        <v>Ibabad ang pork chops sa maalat na tubig ng mga kalahating oras para masipsip ang dugo at amoy, pagkatapos ay patuyuin ang mga ito.</v>
      </c>
      <c r="G83" s="1" t="str">
        <f>_xlfn.TRANSLATE(Steps[[#This Row],[內容]],"zh-cht","id")</f>
        <v>Rendam daging babi dalam air garam selama sekitar setengah jam untuk menyerap darah dan bau, lalu keringkan.</v>
      </c>
    </row>
    <row r="84" spans="1:7" ht="31" x14ac:dyDescent="0.4">
      <c r="A84" s="1" t="str">
        <f>_xlfn.XLOOKUP(B84,表格1[ID],表格1[Dish])</f>
        <v>洋葱豬排</v>
      </c>
      <c r="B84" s="1" t="s">
        <v>144</v>
      </c>
      <c r="C84" s="1">
        <v>2</v>
      </c>
      <c r="D84" s="10" t="s">
        <v>1124</v>
      </c>
      <c r="E84" s="1" t="str">
        <f>_xlfn.TRANSLATE(Steps[[#This Row],[內容]],"zh-cht","en")</f>
        <v>Put the dried pork chops into marinade (A) (egg, salt, sugar, light soy sauce, ginger juice, pepper, cornstarch, flour) and massage for 1 minute, then refrigerate for 4 hours.</v>
      </c>
      <c r="F84" s="1" t="str">
        <f>_xlfn.TRANSLATE(Steps[[#This Row],[內容]],"zh-cht","fil")</f>
        <v>Ilagay ang pinatuyong pork chops sa marinade (A) (itlog, asin, asukal, magaan na toyo, luya, paminta, cornstarch, harina) at imasahe ng 1 minuto, pagkatapos ay ilagay sa refrigerator ng 4 na oras.</v>
      </c>
      <c r="G84" s="1" t="str">
        <f>_xlfn.TRANSLATE(Steps[[#This Row],[內容]],"zh-cht","id")</f>
        <v>Masukkan daging babi kering ke dalam marinasi (A) (telur, garam, gula, kecap asin ringan, jus jahe, lada, tepung jagung, tepung) lalu pijat selama 1 menit, lalu simpan di lemari es selama 4 jam.</v>
      </c>
    </row>
    <row r="85" spans="1:7" x14ac:dyDescent="0.4">
      <c r="A85" s="1" t="str">
        <f>_xlfn.XLOOKUP(B85,表格1[ID],表格1[Dish])</f>
        <v>洋葱豬排</v>
      </c>
      <c r="B85" s="1" t="s">
        <v>144</v>
      </c>
      <c r="C85" s="1">
        <v>3</v>
      </c>
      <c r="D85" s="10" t="s">
        <v>1125</v>
      </c>
      <c r="E85" s="1" t="str">
        <f>_xlfn.TRANSLATE(Steps[[#This Row],[內容]],"zh-cht","en")</f>
        <v>Pan-fry the pork chop over medium heat, and when it's almost done, turn up the heat to lock it tightly. Set aside.</v>
      </c>
      <c r="F85" s="1" t="str">
        <f>_xlfn.TRANSLATE(Steps[[#This Row],[內容]],"zh-cht","fil")</f>
        <v>Iprito ang pork chop sa katamtamang init, at kapag malapit nang luto, itaas ang apoy para mahigpit na ma-lock. Itabi mo.</v>
      </c>
      <c r="G85" s="1" t="str">
        <f>_xlfn.TRANSLATE(Steps[[#This Row],[內容]],"zh-cht","id")</f>
        <v>Goreng daging babi dengan api sedang, dan saat hampir matang, naikkan api agar terkunci rapat. Sisihkan.</v>
      </c>
    </row>
    <row r="86" spans="1:7" ht="31" x14ac:dyDescent="0.4">
      <c r="A86" s="1" t="str">
        <f>_xlfn.XLOOKUP(B86,表格1[ID],表格1[Dish])</f>
        <v>洋葱豬排</v>
      </c>
      <c r="B86" s="1" t="s">
        <v>144</v>
      </c>
      <c r="C86" s="1">
        <v>4</v>
      </c>
      <c r="D86" s="10" t="s">
        <v>1126</v>
      </c>
      <c r="E86" s="1" t="str">
        <f>_xlfn.TRANSLATE(Steps[[#This Row],[內容]],"zh-cht","en")</f>
        <v>Cut the onion into strips, sauté over medium heat for 1 minute, add minced garlic, then add the sauce (B) (salt, sugar, tomato sauce, sauce, light soy sauce, black pepper; add the sauce at the latest). Once done, pour it into the pork chop.</v>
      </c>
      <c r="F86" s="1" t="str">
        <f>_xlfn.TRANSLATE(Steps[[#This Row],[內容]],"zh-cht","fil")</f>
        <v>Hiwain ang sibuyas sa mga piraso, igisa sa katamtamang init ng 1 minuto, idagdag ang tinadtad na bawang, pagkatapos ay idagdag ang sarsa (B) (asin, asukal, sarsa ng kamatis, sarsa, magaan na toyo, itim na paminta; idagdag ang sarsa sa pinakahuli). Kapag luto, ibuhos ito sa pork chop.</v>
      </c>
      <c r="G86" s="1" t="str">
        <f>_xlfn.TRANSLATE(Steps[[#This Row],[內容]],"zh-cht","id")</f>
        <v>Potong bawang bombay menjadi potongan-potongan, tumis dengan api sedang selama 1 menit, tambahkan bawang putih cincang, lalu tambahkan saus (B) (garam, gula, saus tomat, saus, kecap ringan, lada hitam; tambahkan saus paling lambat). Setelah matang, tuangkan ke dalam daging babi.</v>
      </c>
    </row>
    <row r="87" spans="1:7" ht="17" x14ac:dyDescent="0.4">
      <c r="A87" s="1" t="str">
        <f>_xlfn.XLOOKUP(B87,表格1[ID],表格1[Dish])</f>
        <v>甜椒櫛瓜味噌豬五花</v>
      </c>
      <c r="B87" s="1" t="s">
        <v>722</v>
      </c>
      <c r="C87" s="1">
        <v>1</v>
      </c>
      <c r="D87" s="5" t="s">
        <v>1158</v>
      </c>
      <c r="E87" s="1" t="str">
        <f>_xlfn.TRANSLATE(Steps[[#This Row],[內容]],"zh-cht","en")</f>
        <v>Cut the bell peppers and zucchini into small pieces and set aside</v>
      </c>
      <c r="F87" s="1" t="str">
        <f>_xlfn.TRANSLATE(Steps[[#This Row],[內容]],"zh-cht","fil")</f>
        <v>Hiwain ang bell pepper at zucchini sa maliliit na piraso at itabi</v>
      </c>
      <c r="G87" s="1" t="str">
        <f>_xlfn.TRANSLATE(Steps[[#This Row],[內容]],"zh-cht","id")</f>
        <v>Potong paprika dan zucchini menjadi potongan kecil lalu sisihkan</v>
      </c>
    </row>
    <row r="88" spans="1:7" ht="17" x14ac:dyDescent="0.4">
      <c r="A88" s="1" t="str">
        <f>_xlfn.XLOOKUP(B88,表格1[ID],表格1[Dish])</f>
        <v>甜椒櫛瓜味噌豬五花</v>
      </c>
      <c r="B88" s="1" t="s">
        <v>722</v>
      </c>
      <c r="C88" s="1">
        <v>2</v>
      </c>
      <c r="D88" s="2" t="s">
        <v>1159</v>
      </c>
      <c r="E88" s="1" t="str">
        <f>_xlfn.TRANSLATE(Steps[[#This Row],[內容]],"zh-cht","en")</f>
        <v>After mixing the seasonings evenly, mix them well with the pork belly slices. You can marinate them in advance for ice or freezing</v>
      </c>
      <c r="F88" s="1" t="str">
        <f>_xlfn.TRANSLATE(Steps[[#This Row],[內容]],"zh-cht","fil")</f>
        <v>Pagkatapos pantay-pantay na paghaluin ang mga pampalasa, haluin nang mabuti sa mga hiwa ng pork belly. Maaari mo itong i-marinate nang maaga para sa yelo o pagyeyelo</v>
      </c>
      <c r="G88" s="1" t="str">
        <f>_xlfn.TRANSLATE(Steps[[#This Row],[內容]],"zh-cht","id")</f>
        <v>Setelah bumbu dicampur merata, campurkan rata dengan irisan perut babi. Anda bisa memarinasinya sebelumnya untuk es atau pembekuan</v>
      </c>
    </row>
    <row r="89" spans="1:7" ht="17" x14ac:dyDescent="0.4">
      <c r="A89" s="1" t="str">
        <f>_xlfn.XLOOKUP(B89,表格1[ID],表格1[Dish])</f>
        <v>甜椒櫛瓜味噌豬五花</v>
      </c>
      <c r="B89" s="1" t="s">
        <v>722</v>
      </c>
      <c r="C89" s="1">
        <v>3</v>
      </c>
      <c r="D89" s="2" t="s">
        <v>1160</v>
      </c>
      <c r="E89" s="1" t="str">
        <f>_xlfn.TRANSLATE(Steps[[#This Row],[內容]],"zh-cht","en")</f>
        <v>Heat a small amount of oil in a pan, then add the bell peppers and zucchini, stir-fry until cooked, then sprinkle with a pinch of salt to taste</v>
      </c>
      <c r="F89" s="1" t="str">
        <f>_xlfn.TRANSLATE(Steps[[#This Row],[內容]],"zh-cht","fil")</f>
        <v>Painitin ang kaunting mantika sa kawali, pagkatapos idagdag ang bell peppers at zucchini, igisa hanggang maluto, pagkatapos budburan ng kaunting asin ayon sa panlasa</v>
      </c>
      <c r="G89" s="1" t="str">
        <f>_xlfn.TRANSLATE(Steps[[#This Row],[內容]],"zh-cht","id")</f>
        <v>Panaskan sedikit minyak di wajan, lalu tambahkan paprika dan zucchini, tumis sampai matang, lalu taburi sedikit garam sesuai selera</v>
      </c>
    </row>
    <row r="90" spans="1:7" ht="17" x14ac:dyDescent="0.4">
      <c r="A90" s="1" t="str">
        <f>_xlfn.XLOOKUP(B90,表格1[ID],表格1[Dish])</f>
        <v>甜椒櫛瓜味噌豬五花</v>
      </c>
      <c r="B90" s="1" t="s">
        <v>722</v>
      </c>
      <c r="C90" s="1">
        <v>4</v>
      </c>
      <c r="D90" s="2" t="s">
        <v>1161</v>
      </c>
      <c r="E90" s="1" t="str">
        <f>_xlfn.TRANSLATE(Steps[[#This Row],[內容]],"zh-cht","en")</f>
        <v>Add the pork belly slices to the pan and stir-fry until cooked</v>
      </c>
      <c r="F90" s="1" t="str">
        <f>_xlfn.TRANSLATE(Steps[[#This Row],[內容]],"zh-cht","fil")</f>
        <v>Idagdag ang mga hiwa ng pork belly sa kawali at igisa hanggang maluto</v>
      </c>
      <c r="G90" s="1" t="str">
        <f>_xlfn.TRANSLATE(Steps[[#This Row],[內容]],"zh-cht","id")</f>
        <v>Masukkan irisan perut babi ke wajan dan tumis sampai matang</v>
      </c>
    </row>
    <row r="91" spans="1:7" ht="17" x14ac:dyDescent="0.4">
      <c r="A91" s="1" t="str">
        <f>_xlfn.XLOOKUP(B91,表格1[ID],表格1[Dish])</f>
        <v>塔香野菇炒粟米仔</v>
      </c>
      <c r="B91" s="1" t="s">
        <v>789</v>
      </c>
      <c r="C91" s="1">
        <v>1</v>
      </c>
      <c r="D91" s="2" t="s">
        <v>1171</v>
      </c>
      <c r="E91" s="1" t="str">
        <f>_xlfn.TRANSLATE(Steps[[#This Row],[內容]],"zh-cht","en")</f>
        <v>Cut the mushrooms into appropriate sizes, and cut the millet into small sections</v>
      </c>
      <c r="F91" s="1" t="str">
        <f>_xlfn.TRANSLATE(Steps[[#This Row],[內容]],"zh-cht","fil")</f>
        <v>Hiwain ang kabute sa tamang sukat, at hiwain ang millet sa maliliit na bahagi</v>
      </c>
      <c r="G91" s="1" t="str">
        <f>_xlfn.TRANSLATE(Steps[[#This Row],[內容]],"zh-cht","id")</f>
        <v>Potong jamur dengan ukuran yang sesuai, dan potong millet menjadi bagian-bagian kecil</v>
      </c>
    </row>
    <row r="92" spans="1:7" ht="17" x14ac:dyDescent="0.4">
      <c r="A92" s="1" t="str">
        <f>_xlfn.XLOOKUP(B92,表格1[ID],表格1[Dish])</f>
        <v>塔香野菇炒粟米仔</v>
      </c>
      <c r="B92" s="1" t="s">
        <v>789</v>
      </c>
      <c r="C92" s="1">
        <v>2</v>
      </c>
      <c r="D92" s="2" t="s">
        <v>1172</v>
      </c>
      <c r="E92" s="1" t="str">
        <f>_xlfn.TRANSLATE(Steps[[#This Row],[內容]],"zh-cht","en")</f>
        <v>Heat a little oil in the pan, then add all the ingredients and stir-fry until soft. Finally, add basil and minced garlic (you can also add some chili). Season with seasoning</v>
      </c>
      <c r="F92" s="1" t="str">
        <f>_xlfn.TRANSLATE(Steps[[#This Row],[內容]],"zh-cht","fil")</f>
        <v>Painitin ang kaunting mantika sa kawali, pagkatapos idagdag ang lahat ng sangkap at igisa hanggang lumambot. Sa huli, idagdag ang basil at tinadtad na bawang (maaari ka ring magdagdag ng sili). Timplahan gamit ang pampalasa</v>
      </c>
      <c r="G92" s="1" t="str">
        <f>_xlfn.TRANSLATE(Steps[[#This Row],[內容]],"zh-cht","id")</f>
        <v>Panaskan sedikit minyak di wajan, lalu tambahkan semua bahan dan tumis hingga lunak. Terakhir, tambahkan basil dan bawang putih cincang (Anda juga bisa menambahkan sedikit cabai). Bumbui dengan bumbu</v>
      </c>
    </row>
    <row r="93" spans="1:7" ht="17" x14ac:dyDescent="0.4">
      <c r="A93" s="1" t="str">
        <f>_xlfn.XLOOKUP(B93,表格1[ID],表格1[Dish])</f>
        <v>洋蔥炒豬肉</v>
      </c>
      <c r="B93" s="1" t="s">
        <v>720</v>
      </c>
      <c r="C93" s="1">
        <v>1</v>
      </c>
      <c r="D93" s="2" t="s">
        <v>1173</v>
      </c>
      <c r="E93" s="1" t="str">
        <f>_xlfn.TRANSLATE(Steps[[#This Row],[內容]],"zh-cht","en")</f>
        <v>Heat a small pan with a little oil, add the onion strips, and stir-fry over medium-low heat until golden brown</v>
      </c>
      <c r="F93" s="1" t="str">
        <f>_xlfn.TRANSLATE(Steps[[#This Row],[內容]],"zh-cht","fil")</f>
        <v>Painitin ang maliit na kawali na may kaunting mantika, idagdag ang mga hiwa ng sibuyas, at igisa sa medium-low heat hanggang maging golden brown</v>
      </c>
      <c r="G93" s="1" t="str">
        <f>_xlfn.TRANSLATE(Steps[[#This Row],[內容]],"zh-cht","id")</f>
        <v>Panaskan wajan kecil dengan sedikit minyak, tambahkan irisan bawang, dan tumis di atas api sedang-rendah hingga keemasan</v>
      </c>
    </row>
    <row r="94" spans="1:7" ht="17" x14ac:dyDescent="0.4">
      <c r="A94" s="1" t="str">
        <f>_xlfn.XLOOKUP(B94,表格1[ID],表格1[Dish])</f>
        <v>洋蔥炒豬肉</v>
      </c>
      <c r="B94" s="1" t="s">
        <v>720</v>
      </c>
      <c r="C94" s="1">
        <v>2</v>
      </c>
      <c r="D94" s="2" t="s">
        <v>1174</v>
      </c>
      <c r="E94" s="1" t="str">
        <f>_xlfn.TRANSLATE(Steps[[#This Row],[內容]],"zh-cht","en")</f>
        <v>Add the pork preserves and stir-fry until cooked</v>
      </c>
      <c r="F94" s="1" t="str">
        <f>_xlfn.TRANSLATE(Steps[[#This Row],[內容]],"zh-cht","fil")</f>
        <v>Idagdag ang pork preserves at igisa hanggang maluto</v>
      </c>
      <c r="G94" s="1" t="str">
        <f>_xlfn.TRANSLATE(Steps[[#This Row],[內容]],"zh-cht","id")</f>
        <v>Tambahkan selai babi dan tumis sampai matang</v>
      </c>
    </row>
    <row r="95" spans="1:7" ht="17" x14ac:dyDescent="0.4">
      <c r="A95" s="1" t="str">
        <f>_xlfn.XLOOKUP(B95,表格1[ID],表格1[Dish])</f>
        <v>洋蔥炒豬肉</v>
      </c>
      <c r="B95" s="1" t="s">
        <v>720</v>
      </c>
      <c r="C95" s="1">
        <v>3</v>
      </c>
      <c r="D95" s="2" t="s">
        <v>1175</v>
      </c>
      <c r="E95" s="1" t="str">
        <f>_xlfn.TRANSLATE(Steps[[#This Row],[內容]],"zh-cht","en")</f>
        <v>Add the seasonings and let the sauce mix evenly with the meat slices. Done. You can also add black pepper for extra flavor</v>
      </c>
      <c r="F95" s="1" t="str">
        <f>_xlfn.TRANSLATE(Steps[[#This Row],[內容]],"zh-cht","fil")</f>
        <v>Idagdag ang mga pampalasa at hayaang pantay na haluin ang sarsa sa mga hiwa ng karne. Tapos na. Maaari ka ring magdagdag ng itim na paminta para sa dagdag na lasa</v>
      </c>
      <c r="G95" s="1" t="str">
        <f>_xlfn.TRANSLATE(Steps[[#This Row],[內容]],"zh-cht","id")</f>
        <v>Tambahkan bumbu dan biarkan saus tercampur rata dengan irisan daging. Selesai. Anda juga bisa menambahkan lada hitam untuk rasa ekstra</v>
      </c>
    </row>
    <row r="96" spans="1:7" ht="17" x14ac:dyDescent="0.4">
      <c r="A96" s="1" t="str">
        <f>_xlfn.XLOOKUP(B96,表格1[ID],表格1[Dish])</f>
        <v>蕃茄炒蛋</v>
      </c>
      <c r="B96" s="1" t="s">
        <v>533</v>
      </c>
      <c r="C96" s="1">
        <v>1</v>
      </c>
      <c r="D96" s="5" t="s">
        <v>1176</v>
      </c>
      <c r="E96" s="1" t="str">
        <f>_xlfn.TRANSLATE(Steps[[#This Row],[內容]],"zh-cht","en")</f>
        <v>Beat chopped scallions into the eggs, and when the oil is hot, add the eggs and stir-fry until about 80% cooked, then remove from the pan and set aside</v>
      </c>
      <c r="F96" s="1" t="str">
        <f>_xlfn.TRANSLATE(Steps[[#This Row],[內容]],"zh-cht","fil")</f>
        <v>Batiin ang tinadtad na sibuyas sa itlog, at kapag mainit na ang mantika, idagdag ang mga itlog at igisa hanggang mga 80% maluto, pagkatapos ay alisin mula sa kawali at itabi</v>
      </c>
      <c r="G96" s="1" t="str">
        <f>_xlfn.TRANSLATE(Steps[[#This Row],[內容]],"zh-cht","id")</f>
        <v>Kocok daun bawang cincang ke dalam telur, dan saat minyak sudah panas, tambahkan telur dan tumis sampai sekitar 80% matang, lalu angkat dari wajan dan sisihkan</v>
      </c>
    </row>
    <row r="97" spans="1:7" ht="17" x14ac:dyDescent="0.4">
      <c r="A97" s="1" t="str">
        <f>_xlfn.XLOOKUP(B97,表格1[ID],表格1[Dish])</f>
        <v>蕃茄炒蛋</v>
      </c>
      <c r="B97" s="1" t="s">
        <v>533</v>
      </c>
      <c r="C97" s="1">
        <v>2</v>
      </c>
      <c r="D97" s="2" t="s">
        <v>1177</v>
      </c>
      <c r="E97" s="1" t="str">
        <f>_xlfn.TRANSLATE(Steps[[#This Row],[內容]],"zh-cht","en")</f>
        <v>Cut the tomatoes into small pieces, add oil in the same pan, and stir-fry the tomatoes until soft</v>
      </c>
      <c r="F97" s="1" t="str">
        <f>_xlfn.TRANSLATE(Steps[[#This Row],[內容]],"zh-cht","fil")</f>
        <v>Hiwain ang mga kamatis sa maliliit na piraso, ilagay ang mantika sa parehong kawali, at igisa ang mga kamatis hanggang lumambot</v>
      </c>
      <c r="G97" s="1" t="str">
        <f>_xlfn.TRANSLATE(Steps[[#This Row],[內容]],"zh-cht","id")</f>
        <v>Potong tomat menjadi potongan kecil, tambahkan minyak di wajan yang sama, dan tumis tomat hingga lunak</v>
      </c>
    </row>
    <row r="98" spans="1:7" ht="17" x14ac:dyDescent="0.4">
      <c r="A98" s="1" t="str">
        <f>_xlfn.XLOOKUP(B98,表格1[ID],表格1[Dish])</f>
        <v>蕃茄炒蛋</v>
      </c>
      <c r="B98" s="1" t="s">
        <v>533</v>
      </c>
      <c r="C98" s="1">
        <v>3</v>
      </c>
      <c r="D98" s="2" t="s">
        <v>1178</v>
      </c>
      <c r="E98" s="1" t="str">
        <f>_xlfn.TRANSLATE(Steps[[#This Row],[內容]],"zh-cht","en")</f>
        <v>Return the scrambled eggs to the pan and add seasoning. Once the sauce and ingredients are well mixed together,</v>
      </c>
      <c r="F98" s="1" t="str">
        <f>_xlfn.TRANSLATE(Steps[[#This Row],[內容]],"zh-cht","fil")</f>
        <v>Ibalik ang scrambled eggs sa kawali at lagyan ng pampalasa. Kapag ang sarsa at mga sangkap ay maayos nang pinaghalo,</v>
      </c>
      <c r="G98" s="1" t="str">
        <f>_xlfn.TRANSLATE(Steps[[#This Row],[內容]],"zh-cht","id")</f>
        <v>Kembalikan telur orak-arik ke wajan dan tambahkan bumbu. Setelah saus dan bahan-bahan tercampur rata,</v>
      </c>
    </row>
    <row r="99" spans="1:7" ht="17" x14ac:dyDescent="0.4">
      <c r="A99" s="1" t="str">
        <f>_xlfn.XLOOKUP(B99,表格1[ID],表格1[Dish])</f>
        <v>牛丼</v>
      </c>
      <c r="B99" s="1" t="s">
        <v>164</v>
      </c>
      <c r="C99" s="1">
        <v>1</v>
      </c>
      <c r="D99" s="2" t="s">
        <v>1184</v>
      </c>
      <c r="E99" s="1" t="str">
        <f>_xlfn.TRANSLATE(Steps[[#This Row],[內容]],"zh-cht","en")</f>
        <v>Cut the onion into thin strips and separate them; separate the beef</v>
      </c>
      <c r="F99" s="1" t="str">
        <f>_xlfn.TRANSLATE(Steps[[#This Row],[內容]],"zh-cht","fil")</f>
        <v>Hiwain ang sibuyas sa manipis na piraso at paghiwalayin; paghiwalayin ang baka</v>
      </c>
      <c r="G99" s="1" t="str">
        <f>_xlfn.TRANSLATE(Steps[[#This Row],[內容]],"zh-cht","id")</f>
        <v>Iris bawang menjadi irisan tipis dan pisahkan; pisahkan daging sapi</v>
      </c>
    </row>
    <row r="100" spans="1:7" ht="17" x14ac:dyDescent="0.4">
      <c r="A100" s="1" t="str">
        <f>_xlfn.XLOOKUP(B100,表格1[ID],表格1[Dish])</f>
        <v>牛丼</v>
      </c>
      <c r="B100" s="1" t="s">
        <v>164</v>
      </c>
      <c r="C100" s="1">
        <v>2</v>
      </c>
      <c r="D100" s="2" t="s">
        <v>1185</v>
      </c>
      <c r="E100" s="1" t="str">
        <f>_xlfn.TRANSLATE(Steps[[#This Row],[內容]],"zh-cht","en")</f>
        <v>Turn on the heat and sauté the onions until golden, then reduce to low heat or turn off the heat to season and season</v>
      </c>
      <c r="F100" s="1" t="str">
        <f>_xlfn.TRANSLATE(Steps[[#This Row],[內容]],"zh-cht","fil")</f>
        <v>Buksan ang apoy at igisa ang sibuyas hanggang maging ginto, pagkatapos ay bawasan sa mababang init o patayin ang apoy para timplahan at timplahan</v>
      </c>
      <c r="G100" s="1" t="str">
        <f>_xlfn.TRANSLATE(Steps[[#This Row],[內容]],"zh-cht","id")</f>
        <v>Nyalakan api dan tumis bawang bombay hingga keemasan, lalu kecilkan api kecil atau matikan api untuk membumbui dan membumbui</v>
      </c>
    </row>
    <row r="101" spans="1:7" ht="17" x14ac:dyDescent="0.4">
      <c r="A101" s="1" t="str">
        <f>_xlfn.XLOOKUP(B101,表格1[ID],表格1[Dish])</f>
        <v>牛丼</v>
      </c>
      <c r="B101" s="1" t="s">
        <v>164</v>
      </c>
      <c r="C101" s="1">
        <v>3</v>
      </c>
      <c r="D101" s="2" t="s">
        <v>1186</v>
      </c>
      <c r="E101" s="1" t="str">
        <f>_xlfn.TRANSLATE(Steps[[#This Row],[內容]],"zh-cht","en")</f>
        <v>When the sauce boils, simmer over medium heat until the sauce thickens, then add the beef and cook together</v>
      </c>
      <c r="F101" s="1" t="str">
        <f>_xlfn.TRANSLATE(Steps[[#This Row],[內容]],"zh-cht","fil")</f>
        <v>Kapag kumulo na ang sarsa, pakuluan sa katamtamang init hanggang lumapot ang sarsa, pagkatapos ay idagdag ang baka at lutuin nang sabay</v>
      </c>
      <c r="G101" s="1" t="str">
        <f>_xlfn.TRANSLATE(Steps[[#This Row],[內容]],"zh-cht","id")</f>
        <v>Saat saus mendidih, didihkan di atas api sedang hingga saus mengental, lalu tambahkan daging sapi dan masak bersama</v>
      </c>
    </row>
    <row r="102" spans="1:7" ht="17" x14ac:dyDescent="0.4">
      <c r="A102" s="1" t="str">
        <f>_xlfn.XLOOKUP(B102,表格1[ID],表格1[Dish])</f>
        <v>牛丼</v>
      </c>
      <c r="B102" s="1" t="s">
        <v>164</v>
      </c>
      <c r="C102" s="1">
        <v>4</v>
      </c>
      <c r="D102" s="2" t="s">
        <v>1187</v>
      </c>
      <c r="E102" s="1" t="str">
        <f>_xlfn.TRANSLATE(Steps[[#This Row],[內容]],"zh-cht","en")</f>
        <v>Serve the rice, pour it on top, and sprinkle with chopped scallions</v>
      </c>
      <c r="F102" s="1" t="str">
        <f>_xlfn.TRANSLATE(Steps[[#This Row],[內容]],"zh-cht","fil")</f>
        <v>Ihain ang kanin, ibuhos sa ibabaw, at budburan ng tinadtad na scallions</v>
      </c>
      <c r="G102" s="1" t="str">
        <f>_xlfn.TRANSLATE(Steps[[#This Row],[內容]],"zh-cht","id")</f>
        <v>Sajikan nasi, tuangkan di atasnya, dan taburi dengan daun bawang cincang</v>
      </c>
    </row>
    <row r="103" spans="1:7" ht="17" x14ac:dyDescent="0.4">
      <c r="A103" s="1" t="str">
        <f>_xlfn.XLOOKUP(B103,表格1[ID],表格1[Dish])</f>
        <v>小青瓜炒肉末</v>
      </c>
      <c r="B103" s="1" t="s">
        <v>716</v>
      </c>
      <c r="C103" s="1">
        <v>1</v>
      </c>
      <c r="D103" s="2" t="s">
        <v>1257</v>
      </c>
      <c r="E103" s="1" t="str">
        <f>_xlfn.TRANSLATE(Steps[[#This Row],[內容]],"zh-cht","en")</f>
        <v>Cut the cucumber into chunks with a rolling knife</v>
      </c>
      <c r="F103" s="1" t="str">
        <f>_xlfn.TRANSLATE(Steps[[#This Row],[內容]],"zh-cht","fil")</f>
        <v>Hiwain ang pipino sa mga piraso gamit ang rolling knife</v>
      </c>
      <c r="G103" s="1" t="str">
        <f>_xlfn.TRANSLATE(Steps[[#This Row],[內容]],"zh-cht","id")</f>
        <v>Iris mentimun menjadi potongan dengan pisau gulung</v>
      </c>
    </row>
    <row r="104" spans="1:7" ht="17" x14ac:dyDescent="0.4">
      <c r="A104" s="1" t="str">
        <f>_xlfn.XLOOKUP(B104,表格1[ID],表格1[Dish])</f>
        <v>小青瓜炒肉末</v>
      </c>
      <c r="B104" s="1" t="s">
        <v>716</v>
      </c>
      <c r="C104" s="1">
        <v>2</v>
      </c>
      <c r="D104" s="2" t="s">
        <v>1258</v>
      </c>
      <c r="E104" s="1" t="str">
        <f>_xlfn.TRANSLATE(Steps[[#This Row],[內容]],"zh-cht","en")</f>
        <v>Heat sesame oil in a pan, add pork, and stir-fry until cooked</v>
      </c>
      <c r="F104" s="1" t="str">
        <f>_xlfn.TRANSLATE(Steps[[#This Row],[內容]],"zh-cht","fil")</f>
        <v>Painitin ang sesame oil sa kawali, idagdag ang baboy, at igisa hanggang maluto</v>
      </c>
      <c r="G104" s="1" t="str">
        <f>_xlfn.TRANSLATE(Steps[[#This Row],[內容]],"zh-cht","id")</f>
        <v>Panaskan minyak wijen di wajan, tambahkan daging babi, dan tumis sampai matang</v>
      </c>
    </row>
    <row r="105" spans="1:7" ht="17" x14ac:dyDescent="0.4">
      <c r="A105" s="1" t="str">
        <f>_xlfn.XLOOKUP(B105,表格1[ID],表格1[Dish])</f>
        <v>小青瓜炒肉末</v>
      </c>
      <c r="B105" s="1" t="s">
        <v>716</v>
      </c>
      <c r="C105" s="1">
        <v>3</v>
      </c>
      <c r="D105" s="2" t="s">
        <v>1259</v>
      </c>
      <c r="E105" s="1" t="str">
        <f>_xlfn.TRANSLATE(Steps[[#This Row],[內容]],"zh-cht","en")</f>
        <v>Add minced garlic and stir-fry until fragrant, then season and continue stir-frying the meat until well combined</v>
      </c>
      <c r="F105" s="1" t="str">
        <f>_xlfn.TRANSLATE(Steps[[#This Row],[內容]],"zh-cht","fil")</f>
        <v>Idagdag ang tinadtad na bawang at igisa hanggang mabango, pagkatapos ay timplahan at ipagpatuloy ang pag-stir fry ng karne hanggang maghalo nang maayos</v>
      </c>
      <c r="G105" s="1" t="str">
        <f>_xlfn.TRANSLATE(Steps[[#This Row],[內容]],"zh-cht","id")</f>
        <v>Tambahkan bawang putih cincang dan tumis sampai harum, lalu bumbui dan lanjutkan tumis hingga tercampur rata</v>
      </c>
    </row>
    <row r="106" spans="1:7" ht="17" x14ac:dyDescent="0.4">
      <c r="A106" s="1" t="str">
        <f>_xlfn.XLOOKUP(B106,表格1[ID],表格1[Dish])</f>
        <v>小青瓜炒肉末</v>
      </c>
      <c r="B106" s="1" t="s">
        <v>716</v>
      </c>
      <c r="C106" s="1">
        <v>4</v>
      </c>
      <c r="D106" s="2" t="s">
        <v>1260</v>
      </c>
      <c r="E106" s="1" t="str">
        <f>_xlfn.TRANSLATE(Steps[[#This Row],[內容]],"zh-cht","en")</f>
        <v>Add the cucumber and stir-fry briefly. Add water and simmer over low heat</v>
      </c>
      <c r="F106" s="1" t="str">
        <f>_xlfn.TRANSLATE(Steps[[#This Row],[內容]],"zh-cht","fil")</f>
        <v>Idagdag ang pipino at igisa nang sandali. Ilagay ang tubig at pakuluan sa mababang init</v>
      </c>
      <c r="G106" s="1" t="str">
        <f>_xlfn.TRANSLATE(Steps[[#This Row],[內容]],"zh-cht","id")</f>
        <v>Tambahkan mentimun dan tumis sebentar. Tambahkan air dan didihkan dengan api kecil</v>
      </c>
    </row>
    <row r="107" spans="1:7" ht="17" x14ac:dyDescent="0.4">
      <c r="A107" s="1" t="str">
        <f>_xlfn.XLOOKUP(B107,表格1[ID],表格1[Dish])</f>
        <v>小青瓜炒肉末</v>
      </c>
      <c r="B107" s="1" t="s">
        <v>716</v>
      </c>
      <c r="C107" s="1">
        <v>5</v>
      </c>
      <c r="D107" s="2" t="s">
        <v>1261</v>
      </c>
      <c r="E107" s="1" t="str">
        <f>_xlfn.TRANSLATE(Steps[[#This Row],[內容]],"zh-cht","en")</f>
        <v>Wait until the cucumber is tender and flavorful</v>
      </c>
      <c r="F107" s="1" t="str">
        <f>_xlfn.TRANSLATE(Steps[[#This Row],[內容]],"zh-cht","fil")</f>
        <v>Hintayin hanggang maging malambot at masarap ang pipino</v>
      </c>
      <c r="G107" s="1" t="str">
        <f>_xlfn.TRANSLATE(Steps[[#This Row],[內容]],"zh-cht","id")</f>
        <v>Tunggu sampai mentimun empuk dan penuh rasa</v>
      </c>
    </row>
    <row r="108" spans="1:7" ht="17" x14ac:dyDescent="0.4">
      <c r="A108" s="1" t="str">
        <f>_xlfn.XLOOKUP(B108,表格1[ID],表格1[Dish])</f>
        <v>烤挪威鹽漬鯖魚</v>
      </c>
      <c r="B108" s="1" t="s">
        <v>764</v>
      </c>
      <c r="C108" s="1">
        <v>1</v>
      </c>
      <c r="D108" s="2" t="s">
        <v>1264</v>
      </c>
      <c r="E108" s="1" t="str">
        <f>_xlfn.TRANSLATE(Steps[[#This Row],[內容]],"zh-cht","en")</f>
        <v>After thawing, the salted mackerel is placed in the oven and baked at 200°C for 20 minutes</v>
      </c>
      <c r="F108" s="1" t="str">
        <f>_xlfn.TRANSLATE(Steps[[#This Row],[內容]],"zh-cht","fil")</f>
        <v>Pagkatapos matunaw, inilalagay ang salted mackerel sa oven at niluluto sa 200°C sa loob ng 20 minuto</v>
      </c>
      <c r="G108" s="1" t="str">
        <f>_xlfn.TRANSLATE(Steps[[#This Row],[內容]],"zh-cht","id")</f>
        <v>Setelah dicairkan, ikan makarel asin dimasukkan ke dalam oven dan dipanggang pada suhu 200°C selama 20 menit</v>
      </c>
    </row>
    <row r="109" spans="1:7" ht="17" x14ac:dyDescent="0.4">
      <c r="A109" s="1" t="str">
        <f>_xlfn.XLOOKUP(B109,表格1[ID],表格1[Dish])</f>
        <v>茭白筍炒蛋</v>
      </c>
      <c r="B109" s="1" t="s">
        <v>812</v>
      </c>
      <c r="C109" s="1">
        <v>1</v>
      </c>
      <c r="D109" s="2" t="s">
        <v>1267</v>
      </c>
      <c r="E109" s="1" t="str">
        <f>_xlfn.TRANSLATE(Steps[[#This Row],[內容]],"zh-cht","en")</f>
        <v>Add light soy sauce to the eggs and beat well. When the oil is hot, pour in the egg mixture and stir-fry until about 80% cooked. Remove from heat</v>
      </c>
      <c r="F109" s="1" t="str">
        <f>_xlfn.TRANSLATE(Steps[[#This Row],[內容]],"zh-cht","fil")</f>
        <v>Idagdag ang magaan na toyo sa itlog at batiin nang mabuti. Kapag mainit na ang mantika, ibuhos ang halo ng itlog at igisa hanggang sa humigit-kumulang 80% maluto. Alisin mula sa apoy</v>
      </c>
      <c r="G109" s="1" t="str">
        <f>_xlfn.TRANSLATE(Steps[[#This Row],[內容]],"zh-cht","id")</f>
        <v>Tambahkan kecap asin ringan ke telur dan kocok hingga rata. Saat minyak sudah panas, tuangkan campuran telur dan tumis hingga sekitar 80% matang. Angkat dari api</v>
      </c>
    </row>
    <row r="110" spans="1:7" ht="17" x14ac:dyDescent="0.4">
      <c r="A110" s="1" t="str">
        <f>_xlfn.XLOOKUP(B110,表格1[ID],表格1[Dish])</f>
        <v>茭白筍炒蛋</v>
      </c>
      <c r="B110" s="1" t="s">
        <v>812</v>
      </c>
      <c r="C110" s="1">
        <v>2</v>
      </c>
      <c r="D110" s="2" t="s">
        <v>1268</v>
      </c>
      <c r="E110" s="1" t="str">
        <f>_xlfn.TRANSLATE(Steps[[#This Row],[內容]],"zh-cht","en")</f>
        <v>Place in the same pot, add water bamboo shoots and stir-fry briefly. Add water and simmer until soft</v>
      </c>
      <c r="F110" s="1" t="str">
        <f>_xlfn.TRANSLATE(Steps[[#This Row],[內容]],"zh-cht","fil")</f>
        <v>Ilagay sa parehong palayok, ilagay ang tubig sa mga bamboo shoots at igisa nang sandali. Ilagay ang tubig at pakuluan hanggang lumambot</v>
      </c>
      <c r="G110" s="1" t="str">
        <f>_xlfn.TRANSLATE(Steps[[#This Row],[內容]],"zh-cht","id")</f>
        <v>Letakkan di panci yang sama, tambahkan rebung air dan tumis sebentar. Tambahkan air dan didihkan hingga lunak</v>
      </c>
    </row>
    <row r="111" spans="1:7" ht="17" x14ac:dyDescent="0.4">
      <c r="A111" s="1" t="str">
        <f>_xlfn.XLOOKUP(B111,表格1[ID],表格1[Dish])</f>
        <v>茭白筍炒蛋</v>
      </c>
      <c r="B111" s="1" t="s">
        <v>812</v>
      </c>
      <c r="C111" s="1">
        <v>3</v>
      </c>
      <c r="D111" s="2" t="s">
        <v>1269</v>
      </c>
      <c r="E111" s="1" t="str">
        <f>_xlfn.TRANSLATE(Steps[[#This Row],[內容]],"zh-cht","en")</f>
        <v>Add the scrambled eggs back to the pan and stir-fry, then season the flavors at the end</v>
      </c>
      <c r="F111" s="1" t="str">
        <f>_xlfn.TRANSLATE(Steps[[#This Row],[內容]],"zh-cht","fil")</f>
        <v>Ibalik ang scrambled eggs sa kawali at i-stir-fry, pagkatapos ay timplahan ang mga lasa sa dulo</v>
      </c>
      <c r="G111" s="1" t="str">
        <f>_xlfn.TRANSLATE(Steps[[#This Row],[內容]],"zh-cht","id")</f>
        <v>Masukkan telur orak-arik kembali ke wajan dan tumis, lalu bumbui rasa di akhir</v>
      </c>
    </row>
    <row r="112" spans="1:7" ht="17" x14ac:dyDescent="0.4">
      <c r="A112" s="1" t="str">
        <f>_xlfn.XLOOKUP(B112,表格1[ID],表格1[Dish])</f>
        <v>蘆筍甜椒鳯梨炒嫩雞</v>
      </c>
      <c r="B112" s="1" t="s">
        <v>746</v>
      </c>
      <c r="C112" s="1">
        <v>1</v>
      </c>
      <c r="D112" s="2" t="s">
        <v>1272</v>
      </c>
      <c r="E112" s="1" t="str">
        <f>_xlfn.TRANSLATE(Steps[[#This Row],[內容]],"zh-cht","en")</f>
        <v>The chicken breast slices are marinated with a marinade</v>
      </c>
      <c r="F112" s="1" t="str">
        <f>_xlfn.TRANSLATE(Steps[[#This Row],[內容]],"zh-cht","fil")</f>
        <v>Ang mga hiwa ng dibdib ng manok ay nilagyan ng marinade</v>
      </c>
      <c r="G112" s="1" t="str">
        <f>_xlfn.TRANSLATE(Steps[[#This Row],[內容]],"zh-cht","id")</f>
        <v>Irisan dada ayam dimarinasi dengan marinasi</v>
      </c>
    </row>
    <row r="113" spans="1:7" ht="17" x14ac:dyDescent="0.4">
      <c r="A113" s="1" t="str">
        <f>_xlfn.XLOOKUP(B113,表格1[ID],表格1[Dish])</f>
        <v>蘆筍甜椒鳯梨炒嫩雞</v>
      </c>
      <c r="B113" s="1" t="s">
        <v>746</v>
      </c>
      <c r="C113" s="1">
        <v>2</v>
      </c>
      <c r="D113" s="2" t="s">
        <v>1278</v>
      </c>
      <c r="E113" s="1" t="str">
        <f>_xlfn.TRANSLATE(Steps[[#This Row],[內容]],"zh-cht","en")</f>
        <v>Heat oil in a pan, add the pork and stir-fry until cooked. Remove from the pan. In the same pan, add garlic slices and stir-fry until fragrant, then add asparagus and bell peppers and stir-fry until cooked</v>
      </c>
      <c r="F113" s="1" t="str">
        <f>_xlfn.TRANSLATE(Steps[[#This Row],[內容]],"zh-cht","fil")</f>
        <v>Painitin ang mantika sa kawali, idagdag ang baboy at igisa hanggang maluto. Alisin mula sa kawali. Sa parehong kawali, idagdag ang mga hiwa ng bawang at igisa hanggang mabango, pagkatapos ay idagdag ang asparagus at bell pepper at igisa hanggang maluto</v>
      </c>
      <c r="G113" s="1" t="str">
        <f>_xlfn.TRANSLATE(Steps[[#This Row],[內容]],"zh-cht","id")</f>
        <v>Panaskan minyak di wajan, masukkan daging babi dan tumis sampai matang. Angkat dari wajan. Di wajan yang sama, tambahkan irisan bawang putih dan tumis sampai harum, lalu tambahkan asparagus dan paprika, lalu tumis sampai matang</v>
      </c>
    </row>
    <row r="114" spans="1:7" ht="17" x14ac:dyDescent="0.4">
      <c r="A114" s="1" t="str">
        <f>_xlfn.XLOOKUP(B114,表格1[ID],表格1[Dish])</f>
        <v>蘆筍甜椒鳯梨炒嫩雞</v>
      </c>
      <c r="B114" s="1" t="s">
        <v>746</v>
      </c>
      <c r="C114" s="1">
        <v>3</v>
      </c>
      <c r="D114" s="5" t="s">
        <v>1279</v>
      </c>
      <c r="E114" s="1" t="str">
        <f>_xlfn.TRANSLATE(Steps[[#This Row],[內容]],"zh-cht","en")</f>
        <v>Stir-fry the chicken and pineapple in a wok until the final seasoning</v>
      </c>
      <c r="F114" s="1" t="str">
        <f>_xlfn.TRANSLATE(Steps[[#This Row],[內容]],"zh-cht","fil")</f>
        <v>Iprito ang manok at pinya sa wok hanggang sa huling pampalasa</v>
      </c>
      <c r="G114" s="1" t="str">
        <f>_xlfn.TRANSLATE(Steps[[#This Row],[內容]],"zh-cht","id")</f>
        <v>Tumiskan ayam dan nanas dalam wajan sampai bumbu terakhir</v>
      </c>
    </row>
    <row r="115" spans="1:7" ht="17" x14ac:dyDescent="0.4">
      <c r="A115" s="1" t="str">
        <f>_xlfn.XLOOKUP(B115,表格1[ID],表格1[Dish])</f>
        <v>蒜苗蘿蔔燉肉</v>
      </c>
      <c r="B115" s="1" t="s">
        <v>727</v>
      </c>
      <c r="C115" s="1">
        <v>1</v>
      </c>
      <c r="D115" s="2" t="s">
        <v>1325</v>
      </c>
      <c r="E115" s="1" t="str">
        <f>_xlfn.TRANSLATE(Steps[[#This Row],[內容]],"zh-cht","en")</f>
        <v>Heat oil in a pan, add the white garlic and stir-fry until fragrant. Add the pork belly pieces and stir-fry until the surface turns white. Add seasoning A and stir-fry for 2 minutes to color the meat</v>
      </c>
      <c r="F115" s="1" t="str">
        <f>_xlfn.TRANSLATE(Steps[[#This Row],[內容]],"zh-cht","fil")</f>
        <v>Painitin ang mantika sa kawali, idagdag ang puting bawang at igisa hanggang mabango. Idagdag ang mga piraso ng pork belly at igisa hanggang maging puti ang ibabaw. Idagdag ang pampalasa A at igisa ng 2 minuto para kulayan ang karne</v>
      </c>
      <c r="G115" s="1" t="str">
        <f>_xlfn.TRANSLATE(Steps[[#This Row],[內容]],"zh-cht","id")</f>
        <v>Panaskan minyak di wajan, tambahkan bawang putih dan tumis hingga harum. Tambahkan potongan perut babi dan tumis hingga permukaannya menjadi putih. Tambahkan bumbu A dan tumis selama 2 menit untuk mewarnai daging</v>
      </c>
    </row>
    <row r="116" spans="1:7" ht="17" x14ac:dyDescent="0.4">
      <c r="A116" s="1" t="str">
        <f>_xlfn.XLOOKUP(B116,表格1[ID],表格1[Dish])</f>
        <v>蒜苗蘿蔔燉肉</v>
      </c>
      <c r="B116" s="1" t="s">
        <v>727</v>
      </c>
      <c r="C116" s="1">
        <v>2</v>
      </c>
      <c r="D116" s="2" t="s">
        <v>1326</v>
      </c>
      <c r="E116" s="1" t="str">
        <f>_xlfn.TRANSLATE(Steps[[#This Row],[內容]],"zh-cht","en")</f>
        <v>Add water and seasoning B. Once the broth boils, cover and simmer on low heat for about 40 minutes to soften the meat and absorb the flavors</v>
      </c>
      <c r="F116" s="1" t="str">
        <f>_xlfn.TRANSLATE(Steps[[#This Row],[內容]],"zh-cht","fil")</f>
        <v>Magdagdag ng tubig at pampalasa B. Kapag kumulo na ang sabaw, takpan at pakuluan sa mababang init ng mga 40 minuto para lumambot ang karne at masipsip ang lasa</v>
      </c>
      <c r="G116" s="1" t="str">
        <f>_xlfn.TRANSLATE(Steps[[#This Row],[內容]],"zh-cht","id")</f>
        <v>Tambahkan air dan bumbu B. Setelah kaldu mendidih, tutup dan didihkan dengan api kecil selama sekitar 40 menit untuk melunakkan daging dan menyerap rasa</v>
      </c>
    </row>
    <row r="117" spans="1:7" ht="17" x14ac:dyDescent="0.4">
      <c r="A117" s="1" t="str">
        <f>_xlfn.XLOOKUP(B117,表格1[ID],表格1[Dish])</f>
        <v>蒜苗蘿蔔燉肉</v>
      </c>
      <c r="B117" s="1" t="s">
        <v>727</v>
      </c>
      <c r="C117" s="1">
        <v>3</v>
      </c>
      <c r="D117" s="2" t="s">
        <v>1327</v>
      </c>
      <c r="E117" s="1" t="str">
        <f>_xlfn.TRANSLATE(Steps[[#This Row],[內容]],"zh-cht","en")</f>
        <v>Add the radish pieces (soak in the braising sauce) and simmer over low heat for 5-20 minutes. When the radish turns amber, add the green garlic and it's ready</v>
      </c>
      <c r="F117" s="1" t="str">
        <f>_xlfn.TRANSLATE(Steps[[#This Row],[內容]],"zh-cht","fil")</f>
        <v>Idagdag ang mga piraso ng labanos (ibabad sa braising sauce) at pakuluan sa mababang init ng 5-20 minuto. Kapag naging amber ang labanos, idagdag ang berdeng bawang at handa na ito</v>
      </c>
      <c r="G117" s="1" t="str">
        <f>_xlfn.TRANSLATE(Steps[[#This Row],[內容]],"zh-cht","id")</f>
        <v>Tambahkan potongan lobak (rendam dalam saus brais) dan didihkan dengan api kecil selama 5-20 menit. Saat lobak berubah menjadi kuning kuning, tambahkan bawang putih hijau dan sudah siap</v>
      </c>
    </row>
    <row r="118" spans="1:7" ht="17" x14ac:dyDescent="0.4">
      <c r="A118" s="1" t="str">
        <f>_xlfn.XLOOKUP(B118,表格1[ID],表格1[Dish])</f>
        <v>蝦仁炒蛋</v>
      </c>
      <c r="B118" s="1" t="s">
        <v>813</v>
      </c>
      <c r="C118" s="1">
        <v>1</v>
      </c>
      <c r="D118" s="5" t="s">
        <v>2317</v>
      </c>
      <c r="E118" s="1" t="str">
        <f>_xlfn.TRANSLATE(Steps[[#This Row],[內容]],"zh-cht","en")</f>
        <v>Heat sesame oil in a pan, add shrimp, and stir-fry quickly over medium-high heat until the surface turns red. Add seasoning A, mix well, and remove from heat</v>
      </c>
      <c r="F118" s="1" t="str">
        <f>_xlfn.TRANSLATE(Steps[[#This Row],[內容]],"zh-cht","fil")</f>
        <v>Painitin ang sesame oil sa kawali, idagdag ang hipon, at igisa nang mabilis sa medium-high na init hanggang maging pula ang ibabaw. Ilagay ang pampalasa A, haluin nang mabuti, at alisin sa init</v>
      </c>
      <c r="G118" s="1" t="str">
        <f>_xlfn.TRANSLATE(Steps[[#This Row],[內容]],"zh-cht","id")</f>
        <v>Panaskan minyak wijen dalam wajan, tambahkan udang, dan tumis cepat di atas api sedang-tinggi hingga permukaan berubah merah. Tambahkan bumbu A, aduk rata, dan angkat dari api</v>
      </c>
    </row>
    <row r="119" spans="1:7" ht="17" x14ac:dyDescent="0.4">
      <c r="A119" s="1" t="str">
        <f>_xlfn.XLOOKUP(B119,表格1[ID],表格1[Dish])</f>
        <v>蝦仁炒蛋</v>
      </c>
      <c r="B119" s="1" t="s">
        <v>813</v>
      </c>
      <c r="C119" s="1">
        <v>2</v>
      </c>
      <c r="D119" s="2" t="s">
        <v>2318</v>
      </c>
      <c r="E119" s="1" t="str">
        <f>_xlfn.TRANSLATE(Steps[[#This Row],[內容]],"zh-cht","en")</f>
        <v>Add Seasoning B to the eggs and beat them, then pour into the pan and stir-fry. When the eggs are about 80% cooked, spread the shrimp back on top of the eggs and stir-fry briefly</v>
      </c>
      <c r="F119" s="1" t="str">
        <f>_xlfn.TRANSLATE(Steps[[#This Row],[內容]],"zh-cht","fil")</f>
        <v>Idagdag ang Seasoning B sa mga itlog at batiin ito, pagkatapos ay ibuhos sa kawali at i-stir-fry. Kapag mga 80% na luto ang mga itlog, ikalat muli ang hipon sa ibabaw ng mga itlog at i-stir-fry nang sandali</v>
      </c>
      <c r="G119" s="1" t="str">
        <f>_xlfn.TRANSLATE(Steps[[#This Row],[內容]],"zh-cht","id")</f>
        <v>Tambahkan bumbu B ke telur dan kocok, lalu tuangkan ke wajan dan tumis. Setelah telur matang sekitar 80%, oleskan udang kembali di atas telur dan tumis sebentar</v>
      </c>
    </row>
    <row r="120" spans="1:7" ht="17" x14ac:dyDescent="0.4">
      <c r="A120" s="1" t="str">
        <f>_xlfn.XLOOKUP(B120,表格1[ID],表格1[Dish])</f>
        <v>冬瓜肉燥</v>
      </c>
      <c r="B120" s="1" t="s">
        <v>717</v>
      </c>
      <c r="C120" s="1">
        <v>1</v>
      </c>
      <c r="D120" s="2" t="s">
        <v>2324</v>
      </c>
      <c r="E120" s="1" t="str">
        <f>_xlfn.TRANSLATE(Steps[[#This Row],[內容]],"zh-cht","en")</f>
        <v>Heat a small pan with a little oil, sauté the shallots until fragrant, then add the pork and stir-fry until cooked</v>
      </c>
      <c r="F120" s="1" t="str">
        <f>_xlfn.TRANSLATE(Steps[[#This Row],[內容]],"zh-cht","fil")</f>
        <v>Painitin ang maliit na kawali na may kaunting mantika, igisa ang shallots hanggang mabango, pagkatapos idagdag ang baboy at igisa hanggang maluto</v>
      </c>
      <c r="G120" s="1" t="str">
        <f>_xlfn.TRANSLATE(Steps[[#This Row],[內容]],"zh-cht","id")</f>
        <v>Panaskan wajan kecil dengan sedikit minyak, tumis bawang merah hingga harum, lalu tambahkan daging babi dan tumis sampai matang</v>
      </c>
    </row>
    <row r="121" spans="1:7" ht="17" x14ac:dyDescent="0.4">
      <c r="A121" s="1" t="str">
        <f>_xlfn.XLOOKUP(B121,表格1[ID],表格1[Dish])</f>
        <v>冬瓜肉燥</v>
      </c>
      <c r="B121" s="1" t="s">
        <v>717</v>
      </c>
      <c r="C121" s="1">
        <v>2</v>
      </c>
      <c r="D121" s="2" t="s">
        <v>2325</v>
      </c>
      <c r="E121" s="1" t="str">
        <f>_xlfn.TRANSLATE(Steps[[#This Row],[內容]],"zh-cht","en")</f>
        <v>Add seasonings, stir-fry the meat until colored, then add water</v>
      </c>
      <c r="F121" s="1" t="str">
        <f>_xlfn.TRANSLATE(Steps[[#This Row],[內容]],"zh-cht","fil")</f>
        <v>Magdagdag ng mga pampalasa, igisa ang karne hanggang makulay na, pagkatapos ay magdagdag ng tubig</v>
      </c>
      <c r="G121" s="1" t="str">
        <f>_xlfn.TRANSLATE(Steps[[#This Row],[內容]],"zh-cht","id")</f>
        <v>Tambahkan bumbu, tumis daging hingga berwarna, lalu tambahkan air</v>
      </c>
    </row>
    <row r="122" spans="1:7" ht="17" x14ac:dyDescent="0.4">
      <c r="A122" s="1" t="str">
        <f>_xlfn.XLOOKUP(B122,表格1[ID],表格1[Dish])</f>
        <v>冬瓜肉燥</v>
      </c>
      <c r="B122" s="1" t="s">
        <v>717</v>
      </c>
      <c r="C122" s="1">
        <v>3</v>
      </c>
      <c r="D122" s="2" t="s">
        <v>2326</v>
      </c>
      <c r="E122" s="1" t="str">
        <f>_xlfn.TRANSLATE(Steps[[#This Row],[內容]],"zh-cht","en")</f>
        <v>When the sauce starts to boil, cover and simmer for 10 minutes to let the ground meat absorb the flavors</v>
      </c>
      <c r="F122" s="1" t="str">
        <f>_xlfn.TRANSLATE(Steps[[#This Row],[內容]],"zh-cht","fil")</f>
        <v>Kapag nagsimulang kumulo ang sarsa, takpan at pakuluan ng 10 minuto para ma-absorb ng giniling na karne ang lasa</v>
      </c>
      <c r="G122" s="1" t="str">
        <f>_xlfn.TRANSLATE(Steps[[#This Row],[內容]],"zh-cht","id")</f>
        <v>Saat saus mulai mendidih, tutup dan didihkan selama 10 menit agar daging giling menyerap rasa</v>
      </c>
    </row>
    <row r="123" spans="1:7" ht="17" x14ac:dyDescent="0.4">
      <c r="A123" s="1" t="str">
        <f>_xlfn.XLOOKUP(B123,表格1[ID],表格1[Dish])</f>
        <v>冬瓜肉燥</v>
      </c>
      <c r="B123" s="1" t="s">
        <v>717</v>
      </c>
      <c r="C123" s="1">
        <v>4</v>
      </c>
      <c r="D123" s="2" t="s">
        <v>2327</v>
      </c>
      <c r="E123" s="1" t="str">
        <f>_xlfn.TRANSLATE(Steps[[#This Row],[內容]],"zh-cht","en")</f>
        <v>Add the winter melon pieces, reduce to low heat, and simmer for 10 minutes until the melon turns amber</v>
      </c>
      <c r="F123" s="1" t="str">
        <f>_xlfn.TRANSLATE(Steps[[#This Row],[內容]],"zh-cht","fil")</f>
        <v>Idagdag ang mga piraso ng winter melon, bawasan sa mababang init, at pakuluan ng 10 minuto hanggang maging amber ang melon</v>
      </c>
      <c r="G123" s="1" t="str">
        <f>_xlfn.TRANSLATE(Steps[[#This Row],[內容]],"zh-cht","id")</f>
        <v>Tambahkan potongan melon musim dingin, kecilkan ke api kecil, dan rebus selama 10 menit hingga melon berubah menjadi kuning</v>
      </c>
    </row>
    <row r="124" spans="1:7" ht="17" x14ac:dyDescent="0.4">
      <c r="A124" s="45" t="str">
        <f>_xlfn.XLOOKUP(B124,表格1[ID],表格1[Dish])</f>
        <v>笛子卷餅</v>
      </c>
      <c r="B124" s="1" t="s">
        <v>194</v>
      </c>
      <c r="C124" s="1">
        <v>1</v>
      </c>
      <c r="D124" s="2" t="s">
        <v>2354</v>
      </c>
      <c r="E124" s="45" t="str">
        <f>_xlfn.TRANSLATE(Steps[[#This Row],[內容]],"zh-cht","en")</f>
        <v>Preheat the oven to 200°C and spray a thin layer of oil on a large shallow baking tray</v>
      </c>
      <c r="F124" s="45" t="str">
        <f>_xlfn.TRANSLATE(Steps[[#This Row],[內容]],"zh-cht","fil")</f>
        <v>Painitin ang oven sa 200°C at i-spray ang manipis na layer ng langis sa malaking mababaw na baking tray</v>
      </c>
      <c r="G124" s="45" t="str">
        <f>_xlfn.TRANSLATE(Steps[[#This Row],[內容]],"zh-cht","id")</f>
        <v>Panaskan oven pada suhu 200°C dan semprotkan lapisan tipis minyak di loyang besar yang dangkal</v>
      </c>
    </row>
    <row r="125" spans="1:7" ht="17" x14ac:dyDescent="0.4">
      <c r="A125" s="45" t="str">
        <f>_xlfn.XLOOKUP(B125,表格1[ID],表格1[Dish])</f>
        <v>笛子卷餅</v>
      </c>
      <c r="B125" s="1" t="s">
        <v>194</v>
      </c>
      <c r="C125" s="1">
        <v>2</v>
      </c>
      <c r="D125" s="2" t="s">
        <v>2355</v>
      </c>
      <c r="E125" s="45" t="str">
        <f>_xlfn.TRANSLATE(Steps[[#This Row],[內容]],"zh-cht","en")</f>
        <v>Pour olive oil into a large wok, heat over medium heat, add the onion, and stir-fry until it turns golden. About 5 minutes. Add the seasonings, continue stir-frying for about 30 seconds, then turn off the heat</v>
      </c>
      <c r="F125" s="45" t="str">
        <f>_xlfn.TRANSLATE(Steps[[#This Row],[內容]],"zh-cht","fil")</f>
        <v>Ibuhos ang olive oil sa malaking wok, painitin sa katamtamang init, idagdag ang sibuyas, at igisa hanggang maging ginto. Mga 5 minuto. Idagdag ang mga pampalasa, ipagpatuloy ang pag-stir fry ng mga 30 segundo, pagkatapos ay patayin ang apoy</v>
      </c>
      <c r="G125" s="45" t="str">
        <f>_xlfn.TRANSLATE(Steps[[#This Row],[內容]],"zh-cht","id")</f>
        <v>Tuang minyak zaitun ke dalam wajan besar, panaskan dengan api sedang, tambahkan bawang, dan tumis sampai warnanya keemasan. Sekitar 5 menit. Tambahkan bumbu, lanjutkan tumis selama sekitar 30 detik, lalu matikan api</v>
      </c>
    </row>
    <row r="126" spans="1:7" ht="17" x14ac:dyDescent="0.4">
      <c r="A126" s="45" t="str">
        <f>_xlfn.XLOOKUP(B126,表格1[ID],表格1[Dish])</f>
        <v>笛子卷餅</v>
      </c>
      <c r="B126" s="1" t="s">
        <v>194</v>
      </c>
      <c r="C126" s="1">
        <v>3</v>
      </c>
      <c r="D126" s="2" t="s">
        <v>2356</v>
      </c>
      <c r="E126" s="45" t="str">
        <f>_xlfn.TRANSLATE(Steps[[#This Row],[內容]],"zh-cht","en")</f>
        <v>In a large bowl, add cooked beans, green peppers, and lime juice, then mash them into a paste. Mix in the sautéed onions, add the corn kernels, and flip</v>
      </c>
      <c r="F126" s="45" t="str">
        <f>_xlfn.TRANSLATE(Steps[[#This Row],[內容]],"zh-cht","fil")</f>
        <v>Sa isang malaking mangkok, idagdag ang nilutong beans, green peppers, at katas ng dayap, pagkatapos ay durugin ito upang maging paste. Ihalo ang ginisa na sibuyas, idagdag ang mga butil ng mais, at baliktarin</v>
      </c>
      <c r="G126" s="45" t="str">
        <f>_xlfn.TRANSLATE(Steps[[#This Row],[內容]],"zh-cht","id")</f>
        <v>Dalam mangkuk besar, tambahkan kacang matang, paprika hijau, dan air jeruk nipis, lalu tumbuk menjadi pasta. Campurkan bawang bombay tumis, tambahkan biji jagung, lalu balik</v>
      </c>
    </row>
    <row r="127" spans="1:7" ht="17" x14ac:dyDescent="0.4">
      <c r="A127" s="45" t="str">
        <f>_xlfn.XLOOKUP(B127,表格1[ID],表格1[Dish])</f>
        <v>笛子卷餅</v>
      </c>
      <c r="B127" s="1" t="s">
        <v>194</v>
      </c>
      <c r="C127" s="1">
        <v>4</v>
      </c>
      <c r="D127" s="2" t="s">
        <v>2359</v>
      </c>
      <c r="E127" s="45" t="str">
        <f>_xlfn.TRANSLATE(Steps[[#This Row],[內容]],"zh-cht","en")</f>
        <v>Heat the pancake, scoop two spoonfuls of filling, and spread it neatly on a thin pancake. Near the left edge. Roll the small pancake from left to right. (You can brush some bean paste on the seal to make it firm.) Place the flute-shaped pancake with the seal facing down on a shallow baking tray. Leave a distance of 3-5CM.</v>
      </c>
      <c r="F127" s="45" t="str">
        <f>_xlfn.TRANSLATE(Steps[[#This Row],[內容]],"zh-cht","fil")</f>
        <v>Painitin ang pancake, kumuha ng dalawang kutsara ng palaman, at ipahid ito nang maayos sa manipis na pancake. Malapit sa kaliwang gilid. I-roll ang maliit na pancake mula kaliwa papuntang kanan. (Maaari mong ipahid ang bean paste sa seal para maging matigas.) Ilagay ang pancake na hugis plauta na nakaharap pababa ang seal sa mababaw na baking tray. Mag-iwan ng distansya na 3-5CM.</v>
      </c>
      <c r="G127" s="45" t="str">
        <f>_xlfn.TRANSLATE(Steps[[#This Row],[內容]],"zh-cht","id")</f>
        <v>Panaskan pancake, sendok dua sendok isian, dan oleskan rapi di atas pancake tipis. Di dekat tepi kiri. Gulung pancake kecil dari kiri ke kanan. (Anda bisa mengoleskan sedikit pasta kacang pada segel agar lebih keras.) Letakkan pancake berbentuk gelas dengan segel menghadap ke bawah di loyang yang dangkal. Sisakan jarak 3-5CM.</v>
      </c>
    </row>
    <row r="128" spans="1:7" ht="17" x14ac:dyDescent="0.4">
      <c r="A128" s="45" t="str">
        <f>_xlfn.XLOOKUP(B128,表格1[ID],表格1[Dish])</f>
        <v>笛子卷餅</v>
      </c>
      <c r="B128" s="1" t="s">
        <v>194</v>
      </c>
      <c r="C128" s="1">
        <v>5</v>
      </c>
      <c r="D128" s="2" t="s">
        <v>2360</v>
      </c>
      <c r="E128" s="45" t="str">
        <f>_xlfn.TRANSLATE(Steps[[#This Row],[內容]],"zh-cht","en")</f>
        <v>Brush a thin layer of oil on all the wraps. Bake for 10 minutes. When taking them out, the bottom should be golden brown. Flip and bake the other side, about 5-7 minutes. You can add salsa and lettuce on top.</v>
      </c>
      <c r="F128" s="45" t="str">
        <f>_xlfn.TRANSLATE(Steps[[#This Row],[內容]],"zh-cht","fil")</f>
        <v>Pahiran ng manipis na layer ng mantika ang lahat ng wrap. I-bake ng 10 minuto. Kapag inalis, dapat golden brown ang ilalim. Baliktarin at i-bake ang kabilang side, mga 5-7 minuto. Pwede kang magdagdag ng salsa at lettuce sa ibabaw.</v>
      </c>
      <c r="G128" s="45" t="str">
        <f>_xlfn.TRANSLATE(Steps[[#This Row],[內容]],"zh-cht","id")</f>
        <v>Sapukan lapisan tipis minyak pada semua wrap. Panggang selama 10 menit. Saat dikeluarkan, bagian bawahnya harus berwarna cokelat keemasan. Balikkan dan panggang sisi lainnya sekitar 5-7 menit. Anda bisa menambahkan salsa dan selada di atasnya.</v>
      </c>
    </row>
  </sheetData>
  <phoneticPr fontId="2" type="noConversion"/>
  <pageMargins left="0.7" right="0.7" top="0.75" bottom="0.75" header="0.3" footer="0.3"/>
  <pageSetup orientation="portrait"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00F412-7175-4B8C-93B4-B4DD0A4DEA6F}">
  <dimension ref="A1:D122"/>
  <sheetViews>
    <sheetView topLeftCell="A108" workbookViewId="0">
      <selection activeCell="D122" sqref="D122"/>
    </sheetView>
  </sheetViews>
  <sheetFormatPr defaultColWidth="12.54296875" defaultRowHeight="15.5" x14ac:dyDescent="0.4"/>
  <cols>
    <col min="1" max="1" width="14.7265625" style="1" bestFit="1" customWidth="1"/>
    <col min="2" max="2" width="28.36328125" style="1" bestFit="1" customWidth="1"/>
    <col min="3" max="3" width="32.81640625" style="1" bestFit="1" customWidth="1"/>
    <col min="4" max="4" width="35.7265625" style="1" bestFit="1" customWidth="1"/>
    <col min="5" max="16384" width="12.54296875" style="1"/>
  </cols>
  <sheetData>
    <row r="1" spans="1:4" ht="17" x14ac:dyDescent="0.4">
      <c r="B1" s="1" t="s">
        <v>1084</v>
      </c>
      <c r="C1" s="28" t="e">
        <f>_xlfn.TRANSLATE(英文, "en","fil")</f>
        <v>#NAME?</v>
      </c>
      <c r="D1" s="29" t="e">
        <f>_xlfn.TRANSLATE(ingredient_unit[[#This Row],[英文]],"zh-cht","id")</f>
        <v>#VALUE!</v>
      </c>
    </row>
    <row r="3" spans="1:4" ht="17" x14ac:dyDescent="0.4">
      <c r="A3" s="7" t="s">
        <v>221</v>
      </c>
      <c r="B3" s="7" t="s">
        <v>222</v>
      </c>
      <c r="C3" s="7" t="s">
        <v>219</v>
      </c>
      <c r="D3" s="7" t="s">
        <v>220</v>
      </c>
    </row>
    <row r="4" spans="1:4" ht="17" x14ac:dyDescent="0.4">
      <c r="A4" s="2" t="s">
        <v>295</v>
      </c>
      <c r="B4" s="1" t="s">
        <v>870</v>
      </c>
      <c r="C4" s="1" t="s">
        <v>871</v>
      </c>
      <c r="D4" s="1" t="s">
        <v>872</v>
      </c>
    </row>
    <row r="5" spans="1:4" ht="17" x14ac:dyDescent="0.4">
      <c r="A5" s="2" t="s">
        <v>257</v>
      </c>
      <c r="B5" s="1" t="s">
        <v>873</v>
      </c>
      <c r="C5" s="1" t="s">
        <v>874</v>
      </c>
      <c r="D5" s="1" t="s">
        <v>875</v>
      </c>
    </row>
    <row r="6" spans="1:4" ht="17" x14ac:dyDescent="0.4">
      <c r="A6" s="2" t="s">
        <v>231</v>
      </c>
      <c r="B6" s="1" t="s">
        <v>876</v>
      </c>
      <c r="C6" s="1" t="s">
        <v>877</v>
      </c>
      <c r="D6" s="1" t="s">
        <v>878</v>
      </c>
    </row>
    <row r="7" spans="1:4" ht="17" x14ac:dyDescent="0.4">
      <c r="A7" s="2" t="s">
        <v>251</v>
      </c>
      <c r="B7" s="1" t="s">
        <v>879</v>
      </c>
      <c r="C7" s="1" t="s">
        <v>880</v>
      </c>
      <c r="D7" s="1" t="s">
        <v>881</v>
      </c>
    </row>
    <row r="8" spans="1:4" ht="17" x14ac:dyDescent="0.4">
      <c r="A8" s="2" t="s">
        <v>234</v>
      </c>
      <c r="B8" s="1" t="s">
        <v>882</v>
      </c>
      <c r="C8" s="1" t="s">
        <v>883</v>
      </c>
      <c r="D8" s="1" t="s">
        <v>884</v>
      </c>
    </row>
    <row r="9" spans="1:4" ht="17" x14ac:dyDescent="0.4">
      <c r="A9" s="2" t="s">
        <v>280</v>
      </c>
      <c r="B9" s="1" t="s">
        <v>885</v>
      </c>
      <c r="C9" s="1" t="s">
        <v>886</v>
      </c>
      <c r="D9" s="1" t="s">
        <v>887</v>
      </c>
    </row>
    <row r="10" spans="1:4" ht="17" x14ac:dyDescent="0.4">
      <c r="A10" s="2" t="s">
        <v>301</v>
      </c>
      <c r="B10" s="1" t="s">
        <v>888</v>
      </c>
      <c r="C10" s="1" t="s">
        <v>889</v>
      </c>
      <c r="D10" s="1" t="s">
        <v>890</v>
      </c>
    </row>
    <row r="11" spans="1:4" ht="17" x14ac:dyDescent="0.4">
      <c r="A11" s="2" t="s">
        <v>287</v>
      </c>
      <c r="B11" s="1" t="s">
        <v>891</v>
      </c>
      <c r="C11" s="1" t="s">
        <v>892</v>
      </c>
      <c r="D11" s="1" t="s">
        <v>893</v>
      </c>
    </row>
    <row r="12" spans="1:4" ht="17" x14ac:dyDescent="0.4">
      <c r="A12" s="2" t="s">
        <v>241</v>
      </c>
      <c r="B12" s="1" t="s">
        <v>894</v>
      </c>
      <c r="C12" s="1" t="s">
        <v>895</v>
      </c>
      <c r="D12" s="1" t="s">
        <v>896</v>
      </c>
    </row>
    <row r="13" spans="1:4" ht="17" x14ac:dyDescent="0.4">
      <c r="A13" s="2" t="s">
        <v>289</v>
      </c>
      <c r="B13" s="1" t="s">
        <v>897</v>
      </c>
      <c r="C13" s="1" t="s">
        <v>898</v>
      </c>
      <c r="D13" s="1" t="s">
        <v>899</v>
      </c>
    </row>
    <row r="14" spans="1:4" ht="17" x14ac:dyDescent="0.4">
      <c r="A14" s="2" t="s">
        <v>297</v>
      </c>
      <c r="B14" s="1" t="s">
        <v>900</v>
      </c>
      <c r="C14" s="1" t="s">
        <v>901</v>
      </c>
      <c r="D14" s="1" t="s">
        <v>902</v>
      </c>
    </row>
    <row r="15" spans="1:4" ht="17" x14ac:dyDescent="0.4">
      <c r="A15" t="s">
        <v>339</v>
      </c>
      <c r="B15" s="1" t="s">
        <v>903</v>
      </c>
      <c r="C15" s="1" t="s">
        <v>904</v>
      </c>
      <c r="D15" s="1" t="s">
        <v>905</v>
      </c>
    </row>
    <row r="16" spans="1:4" ht="17" x14ac:dyDescent="0.4">
      <c r="A16" s="2" t="s">
        <v>320</v>
      </c>
      <c r="B16" s="1" t="s">
        <v>906</v>
      </c>
      <c r="C16" s="1" t="s">
        <v>907</v>
      </c>
      <c r="D16" s="1" t="s">
        <v>907</v>
      </c>
    </row>
    <row r="17" spans="1:4" ht="17" x14ac:dyDescent="0.4">
      <c r="A17" t="s">
        <v>330</v>
      </c>
      <c r="B17" s="1" t="s">
        <v>908</v>
      </c>
      <c r="C17" s="1" t="s">
        <v>909</v>
      </c>
      <c r="D17" s="1" t="s">
        <v>910</v>
      </c>
    </row>
    <row r="18" spans="1:4" ht="17" x14ac:dyDescent="0.4">
      <c r="A18" s="2" t="s">
        <v>303</v>
      </c>
      <c r="B18" s="1" t="s">
        <v>911</v>
      </c>
      <c r="C18" s="1" t="s">
        <v>911</v>
      </c>
      <c r="D18" s="1" t="s">
        <v>912</v>
      </c>
    </row>
    <row r="19" spans="1:4" ht="17" x14ac:dyDescent="0.4">
      <c r="A19" s="2" t="s">
        <v>322</v>
      </c>
      <c r="B19" s="1" t="s">
        <v>913</v>
      </c>
      <c r="C19" s="1" t="s">
        <v>913</v>
      </c>
      <c r="D19" s="1" t="s">
        <v>914</v>
      </c>
    </row>
    <row r="20" spans="1:4" ht="17" x14ac:dyDescent="0.4">
      <c r="A20" t="s">
        <v>336</v>
      </c>
      <c r="B20" s="1" t="s">
        <v>915</v>
      </c>
      <c r="C20" s="1" t="s">
        <v>916</v>
      </c>
      <c r="D20" s="1" t="s">
        <v>917</v>
      </c>
    </row>
    <row r="21" spans="1:4" ht="17" x14ac:dyDescent="0.4">
      <c r="A21" t="s">
        <v>331</v>
      </c>
      <c r="B21" s="1" t="s">
        <v>918</v>
      </c>
      <c r="C21" s="1" t="s">
        <v>918</v>
      </c>
      <c r="D21" s="1" t="s">
        <v>919</v>
      </c>
    </row>
    <row r="22" spans="1:4" ht="17" x14ac:dyDescent="0.4">
      <c r="A22" s="2" t="s">
        <v>291</v>
      </c>
      <c r="B22" s="1" t="s">
        <v>920</v>
      </c>
      <c r="C22" s="1" t="s">
        <v>921</v>
      </c>
      <c r="D22" s="1" t="s">
        <v>922</v>
      </c>
    </row>
    <row r="23" spans="1:4" ht="17" x14ac:dyDescent="0.4">
      <c r="A23" s="2" t="s">
        <v>299</v>
      </c>
      <c r="B23" s="1" t="s">
        <v>923</v>
      </c>
      <c r="C23" s="1" t="s">
        <v>924</v>
      </c>
      <c r="D23" s="1" t="s">
        <v>925</v>
      </c>
    </row>
    <row r="24" spans="1:4" ht="17" x14ac:dyDescent="0.4">
      <c r="A24" s="2" t="s">
        <v>324</v>
      </c>
      <c r="B24" s="1" t="s">
        <v>926</v>
      </c>
      <c r="C24" s="1" t="s">
        <v>926</v>
      </c>
      <c r="D24" s="1" t="s">
        <v>926</v>
      </c>
    </row>
    <row r="25" spans="1:4" ht="17" x14ac:dyDescent="0.4">
      <c r="A25" s="2" t="s">
        <v>342</v>
      </c>
      <c r="B25" s="1" t="s">
        <v>927</v>
      </c>
      <c r="C25" s="1" t="s">
        <v>928</v>
      </c>
      <c r="D25" s="1" t="s">
        <v>929</v>
      </c>
    </row>
    <row r="26" spans="1:4" ht="17" x14ac:dyDescent="0.4">
      <c r="A26" s="2" t="s">
        <v>309</v>
      </c>
      <c r="B26" s="1" t="s">
        <v>930</v>
      </c>
      <c r="C26" s="1" t="s">
        <v>930</v>
      </c>
      <c r="D26" s="1" t="s">
        <v>931</v>
      </c>
    </row>
    <row r="27" spans="1:4" ht="17" x14ac:dyDescent="0.4">
      <c r="A27" s="2" t="s">
        <v>313</v>
      </c>
      <c r="B27" s="1" t="s">
        <v>932</v>
      </c>
      <c r="C27" s="1" t="s">
        <v>933</v>
      </c>
      <c r="D27" s="1" t="s">
        <v>934</v>
      </c>
    </row>
    <row r="28" spans="1:4" ht="17" x14ac:dyDescent="0.4">
      <c r="A28" s="2" t="s">
        <v>278</v>
      </c>
      <c r="B28" s="1" t="s">
        <v>935</v>
      </c>
      <c r="C28" s="1" t="s">
        <v>936</v>
      </c>
      <c r="D28" s="1" t="s">
        <v>937</v>
      </c>
    </row>
    <row r="29" spans="1:4" ht="17" x14ac:dyDescent="0.4">
      <c r="A29" t="s">
        <v>340</v>
      </c>
      <c r="B29" s="1" t="s">
        <v>938</v>
      </c>
      <c r="C29" s="1" t="s">
        <v>939</v>
      </c>
      <c r="D29" s="1" t="s">
        <v>940</v>
      </c>
    </row>
    <row r="30" spans="1:4" ht="17" x14ac:dyDescent="0.4">
      <c r="A30" s="2" t="s">
        <v>347</v>
      </c>
      <c r="B30" s="1" t="s">
        <v>941</v>
      </c>
      <c r="C30" s="1" t="s">
        <v>942</v>
      </c>
      <c r="D30" s="1" t="s">
        <v>943</v>
      </c>
    </row>
    <row r="31" spans="1:4" ht="17" x14ac:dyDescent="0.4">
      <c r="A31" s="2" t="s">
        <v>276</v>
      </c>
      <c r="B31" s="1" t="s">
        <v>944</v>
      </c>
      <c r="C31" s="1" t="s">
        <v>945</v>
      </c>
      <c r="D31" s="1" t="s">
        <v>946</v>
      </c>
    </row>
    <row r="32" spans="1:4" ht="17" x14ac:dyDescent="0.4">
      <c r="A32" s="2" t="s">
        <v>293</v>
      </c>
      <c r="B32" s="1" t="s">
        <v>947</v>
      </c>
      <c r="C32" s="1" t="s">
        <v>948</v>
      </c>
      <c r="D32" s="1" t="s">
        <v>949</v>
      </c>
    </row>
    <row r="33" spans="1:4" ht="17" x14ac:dyDescent="0.4">
      <c r="A33" t="s">
        <v>337</v>
      </c>
      <c r="B33" s="1" t="s">
        <v>950</v>
      </c>
      <c r="C33" s="1" t="s">
        <v>951</v>
      </c>
      <c r="D33" s="1" t="s">
        <v>952</v>
      </c>
    </row>
    <row r="34" spans="1:4" ht="17" x14ac:dyDescent="0.4">
      <c r="A34" s="2" t="s">
        <v>255</v>
      </c>
      <c r="B34" s="1" t="s">
        <v>953</v>
      </c>
      <c r="C34" s="1" t="s">
        <v>954</v>
      </c>
      <c r="D34" s="1" t="s">
        <v>955</v>
      </c>
    </row>
    <row r="35" spans="1:4" ht="17" x14ac:dyDescent="0.4">
      <c r="A35" s="2" t="s">
        <v>253</v>
      </c>
      <c r="B35" s="1" t="s">
        <v>956</v>
      </c>
      <c r="C35" s="1" t="s">
        <v>957</v>
      </c>
      <c r="D35" s="1" t="s">
        <v>958</v>
      </c>
    </row>
    <row r="36" spans="1:4" ht="17" x14ac:dyDescent="0.4">
      <c r="A36" s="2" t="s">
        <v>242</v>
      </c>
      <c r="B36" s="1" t="s">
        <v>959</v>
      </c>
      <c r="C36" s="1" t="s">
        <v>960</v>
      </c>
      <c r="D36" s="1" t="s">
        <v>961</v>
      </c>
    </row>
    <row r="37" spans="1:4" ht="17" x14ac:dyDescent="0.4">
      <c r="A37" s="2" t="s">
        <v>431</v>
      </c>
      <c r="B37" s="1" t="s">
        <v>962</v>
      </c>
      <c r="C37" s="1" t="s">
        <v>963</v>
      </c>
      <c r="D37" s="1" t="s">
        <v>964</v>
      </c>
    </row>
    <row r="38" spans="1:4" ht="17" x14ac:dyDescent="0.4">
      <c r="A38" t="s">
        <v>332</v>
      </c>
      <c r="B38" s="1" t="s">
        <v>965</v>
      </c>
      <c r="C38" s="1" t="s">
        <v>965</v>
      </c>
      <c r="D38" s="1" t="s">
        <v>966</v>
      </c>
    </row>
    <row r="39" spans="1:4" ht="17" x14ac:dyDescent="0.4">
      <c r="A39" s="2" t="s">
        <v>335</v>
      </c>
      <c r="B39" s="1" t="s">
        <v>967</v>
      </c>
      <c r="C39" s="1" t="s">
        <v>967</v>
      </c>
      <c r="D39" s="1" t="s">
        <v>968</v>
      </c>
    </row>
    <row r="40" spans="1:4" ht="17" x14ac:dyDescent="0.4">
      <c r="A40" s="2" t="s">
        <v>282</v>
      </c>
      <c r="B40" s="1" t="s">
        <v>969</v>
      </c>
      <c r="C40" s="1" t="s">
        <v>969</v>
      </c>
      <c r="D40" s="1" t="s">
        <v>970</v>
      </c>
    </row>
    <row r="41" spans="1:4" ht="17" x14ac:dyDescent="0.4">
      <c r="A41" s="2" t="s">
        <v>326</v>
      </c>
      <c r="B41" s="1" t="s">
        <v>971</v>
      </c>
      <c r="C41" s="1" t="s">
        <v>971</v>
      </c>
      <c r="D41" s="1" t="s">
        <v>972</v>
      </c>
    </row>
    <row r="42" spans="1:4" ht="17" x14ac:dyDescent="0.4">
      <c r="A42" t="s">
        <v>338</v>
      </c>
      <c r="B42" s="1" t="s">
        <v>973</v>
      </c>
      <c r="C42" s="1" t="s">
        <v>974</v>
      </c>
      <c r="D42" s="1" t="s">
        <v>975</v>
      </c>
    </row>
    <row r="43" spans="1:4" ht="17" x14ac:dyDescent="0.4">
      <c r="A43" s="2" t="s">
        <v>232</v>
      </c>
      <c r="B43" s="1" t="s">
        <v>976</v>
      </c>
      <c r="C43" s="1" t="s">
        <v>977</v>
      </c>
      <c r="D43" s="1" t="s">
        <v>978</v>
      </c>
    </row>
    <row r="44" spans="1:4" ht="17" x14ac:dyDescent="0.4">
      <c r="A44" s="2" t="s">
        <v>239</v>
      </c>
      <c r="B44" s="1" t="s">
        <v>979</v>
      </c>
      <c r="C44" s="1" t="s">
        <v>980</v>
      </c>
      <c r="D44" s="1" t="s">
        <v>981</v>
      </c>
    </row>
    <row r="45" spans="1:4" ht="17" x14ac:dyDescent="0.4">
      <c r="A45" s="2" t="s">
        <v>305</v>
      </c>
      <c r="B45" s="1" t="s">
        <v>982</v>
      </c>
      <c r="C45" s="1" t="s">
        <v>983</v>
      </c>
      <c r="D45" s="1" t="s">
        <v>984</v>
      </c>
    </row>
    <row r="46" spans="1:4" ht="17" x14ac:dyDescent="0.4">
      <c r="A46" s="2" t="s">
        <v>315</v>
      </c>
      <c r="B46" s="1" t="s">
        <v>985</v>
      </c>
      <c r="C46" s="1" t="s">
        <v>986</v>
      </c>
      <c r="D46" s="1" t="s">
        <v>987</v>
      </c>
    </row>
    <row r="47" spans="1:4" ht="17" x14ac:dyDescent="0.4">
      <c r="A47" s="2" t="s">
        <v>318</v>
      </c>
      <c r="B47" s="1" t="s">
        <v>988</v>
      </c>
      <c r="C47" s="1" t="s">
        <v>989</v>
      </c>
      <c r="D47" s="1" t="s">
        <v>990</v>
      </c>
    </row>
    <row r="48" spans="1:4" ht="17" x14ac:dyDescent="0.4">
      <c r="A48" t="s">
        <v>333</v>
      </c>
      <c r="B48" s="1" t="s">
        <v>991</v>
      </c>
      <c r="C48" s="1" t="s">
        <v>991</v>
      </c>
      <c r="D48" s="1" t="s">
        <v>991</v>
      </c>
    </row>
    <row r="49" spans="1:4" ht="17" x14ac:dyDescent="0.4">
      <c r="A49" s="2" t="s">
        <v>307</v>
      </c>
      <c r="B49" s="1" t="s">
        <v>992</v>
      </c>
      <c r="C49" s="1" t="s">
        <v>993</v>
      </c>
      <c r="D49" s="1" t="s">
        <v>994</v>
      </c>
    </row>
    <row r="50" spans="1:4" ht="17" x14ac:dyDescent="0.4">
      <c r="A50" t="s">
        <v>223</v>
      </c>
      <c r="B50" s="1" t="s">
        <v>995</v>
      </c>
      <c r="C50" s="1" t="s">
        <v>996</v>
      </c>
      <c r="D50" s="1" t="s">
        <v>997</v>
      </c>
    </row>
    <row r="51" spans="1:4" ht="17" x14ac:dyDescent="0.4">
      <c r="A51" s="2" t="s">
        <v>311</v>
      </c>
      <c r="B51" s="1" t="s">
        <v>998</v>
      </c>
      <c r="C51" s="1" t="s">
        <v>999</v>
      </c>
      <c r="D51" s="1" t="s">
        <v>1000</v>
      </c>
    </row>
    <row r="52" spans="1:4" ht="17" x14ac:dyDescent="0.4">
      <c r="A52" s="2" t="s">
        <v>237</v>
      </c>
      <c r="B52" s="1" t="s">
        <v>1001</v>
      </c>
      <c r="C52" s="1" t="s">
        <v>1002</v>
      </c>
      <c r="D52" s="1" t="s">
        <v>1003</v>
      </c>
    </row>
    <row r="53" spans="1:4" ht="17" x14ac:dyDescent="0.4">
      <c r="A53" s="2" t="s">
        <v>376</v>
      </c>
      <c r="B53" s="1" t="s">
        <v>1004</v>
      </c>
      <c r="C53" s="1" t="s">
        <v>1005</v>
      </c>
      <c r="D53" s="1" t="s">
        <v>1006</v>
      </c>
    </row>
    <row r="54" spans="1:4" ht="17" x14ac:dyDescent="0.4">
      <c r="A54" s="2" t="s">
        <v>344</v>
      </c>
      <c r="B54" s="1" t="s">
        <v>1007</v>
      </c>
      <c r="C54" s="1" t="s">
        <v>1008</v>
      </c>
      <c r="D54" s="1" t="s">
        <v>1009</v>
      </c>
    </row>
    <row r="55" spans="1:4" ht="17" x14ac:dyDescent="0.4">
      <c r="A55" s="2" t="s">
        <v>398</v>
      </c>
      <c r="B55" s="1" t="s">
        <v>1010</v>
      </c>
      <c r="C55" s="1" t="s">
        <v>1010</v>
      </c>
      <c r="D55" s="1" t="s">
        <v>1011</v>
      </c>
    </row>
    <row r="56" spans="1:4" ht="17" x14ac:dyDescent="0.4">
      <c r="A56" s="2" t="s">
        <v>400</v>
      </c>
      <c r="B56" s="1" t="s">
        <v>1012</v>
      </c>
      <c r="C56" s="1" t="s">
        <v>1013</v>
      </c>
      <c r="D56" s="1" t="s">
        <v>1014</v>
      </c>
    </row>
    <row r="57" spans="1:4" ht="17" x14ac:dyDescent="0.4">
      <c r="A57" s="2" t="s">
        <v>402</v>
      </c>
      <c r="B57" s="1" t="s">
        <v>1015</v>
      </c>
      <c r="C57" s="1" t="s">
        <v>1016</v>
      </c>
      <c r="D57" s="1" t="s">
        <v>1017</v>
      </c>
    </row>
    <row r="58" spans="1:4" ht="17" x14ac:dyDescent="0.4">
      <c r="A58" s="2" t="s">
        <v>404</v>
      </c>
      <c r="B58" s="1" t="s">
        <v>1018</v>
      </c>
      <c r="C58" s="1" t="s">
        <v>1019</v>
      </c>
      <c r="D58" s="1" t="s">
        <v>1020</v>
      </c>
    </row>
    <row r="59" spans="1:4" ht="17" x14ac:dyDescent="0.4">
      <c r="A59" s="2" t="s">
        <v>410</v>
      </c>
      <c r="B59" s="1" t="s">
        <v>1021</v>
      </c>
      <c r="C59" s="1" t="s">
        <v>1021</v>
      </c>
      <c r="D59" s="1" t="s">
        <v>1022</v>
      </c>
    </row>
    <row r="60" spans="1:4" ht="17" x14ac:dyDescent="0.4">
      <c r="A60" s="2" t="s">
        <v>412</v>
      </c>
      <c r="B60" s="1" t="s">
        <v>1023</v>
      </c>
      <c r="C60" s="1" t="s">
        <v>1024</v>
      </c>
      <c r="D60" s="1" t="s">
        <v>1025</v>
      </c>
    </row>
    <row r="61" spans="1:4" ht="17" x14ac:dyDescent="0.4">
      <c r="A61" s="2" t="s">
        <v>414</v>
      </c>
      <c r="B61" s="1" t="s">
        <v>1026</v>
      </c>
      <c r="C61" s="1" t="s">
        <v>1027</v>
      </c>
      <c r="D61" s="1" t="s">
        <v>1028</v>
      </c>
    </row>
    <row r="62" spans="1:4" ht="17" x14ac:dyDescent="0.4">
      <c r="A62" s="2" t="s">
        <v>416</v>
      </c>
      <c r="B62" s="1" t="s">
        <v>1029</v>
      </c>
      <c r="C62" s="1" t="s">
        <v>1030</v>
      </c>
      <c r="D62" s="1" t="s">
        <v>1031</v>
      </c>
    </row>
    <row r="63" spans="1:4" ht="17" x14ac:dyDescent="0.4">
      <c r="A63" s="2" t="s">
        <v>421</v>
      </c>
      <c r="B63" s="1" t="s">
        <v>1032</v>
      </c>
      <c r="C63" s="1" t="s">
        <v>1033</v>
      </c>
      <c r="D63" s="1" t="s">
        <v>1034</v>
      </c>
    </row>
    <row r="64" spans="1:4" ht="17" x14ac:dyDescent="0.4">
      <c r="A64" s="2" t="s">
        <v>423</v>
      </c>
      <c r="B64" s="1" t="s">
        <v>1035</v>
      </c>
      <c r="C64" s="1" t="s">
        <v>1036</v>
      </c>
      <c r="D64" s="1" t="s">
        <v>1037</v>
      </c>
    </row>
    <row r="65" spans="1:4" ht="17" x14ac:dyDescent="0.4">
      <c r="A65" s="2" t="s">
        <v>425</v>
      </c>
      <c r="B65" s="1" t="s">
        <v>1038</v>
      </c>
      <c r="C65" s="1" t="s">
        <v>1039</v>
      </c>
      <c r="D65" s="1" t="s">
        <v>1040</v>
      </c>
    </row>
    <row r="66" spans="1:4" ht="17" x14ac:dyDescent="0.4">
      <c r="A66" s="2" t="s">
        <v>427</v>
      </c>
      <c r="B66" s="1" t="s">
        <v>1041</v>
      </c>
      <c r="C66" s="1" t="s">
        <v>1042</v>
      </c>
      <c r="D66" s="1" t="s">
        <v>1043</v>
      </c>
    </row>
    <row r="67" spans="1:4" ht="17" x14ac:dyDescent="0.4">
      <c r="A67" s="2" t="s">
        <v>429</v>
      </c>
      <c r="B67" s="1" t="s">
        <v>1044</v>
      </c>
      <c r="C67" s="1" t="s">
        <v>1045</v>
      </c>
      <c r="D67" s="1" t="s">
        <v>1046</v>
      </c>
    </row>
    <row r="68" spans="1:4" ht="17" x14ac:dyDescent="0.4">
      <c r="A68" s="2" t="s">
        <v>446</v>
      </c>
      <c r="B68" s="1" t="s">
        <v>849</v>
      </c>
      <c r="C68" s="1" t="s">
        <v>1047</v>
      </c>
      <c r="D68" s="1" t="s">
        <v>1048</v>
      </c>
    </row>
    <row r="69" spans="1:4" ht="17" x14ac:dyDescent="0.4">
      <c r="A69" s="2" t="s">
        <v>448</v>
      </c>
      <c r="B69" s="1" t="s">
        <v>1049</v>
      </c>
      <c r="C69" s="1" t="s">
        <v>1050</v>
      </c>
      <c r="D69" s="1" t="s">
        <v>1051</v>
      </c>
    </row>
    <row r="70" spans="1:4" ht="17" x14ac:dyDescent="0.4">
      <c r="A70" s="2" t="s">
        <v>685</v>
      </c>
      <c r="B70" s="1" t="s">
        <v>1052</v>
      </c>
      <c r="C70" s="1" t="s">
        <v>1053</v>
      </c>
      <c r="D70" s="1" t="s">
        <v>1054</v>
      </c>
    </row>
    <row r="71" spans="1:4" ht="17" x14ac:dyDescent="0.4">
      <c r="A71" s="2" t="s">
        <v>844</v>
      </c>
      <c r="B71" s="1" t="s">
        <v>1055</v>
      </c>
      <c r="C71" s="1" t="s">
        <v>1056</v>
      </c>
      <c r="D71" s="1" t="s">
        <v>1057</v>
      </c>
    </row>
    <row r="72" spans="1:4" ht="17" x14ac:dyDescent="0.4">
      <c r="A72" s="2" t="s">
        <v>846</v>
      </c>
      <c r="B72" s="1" t="s">
        <v>1058</v>
      </c>
      <c r="C72" s="1" t="s">
        <v>1059</v>
      </c>
      <c r="D72" s="1" t="s">
        <v>1060</v>
      </c>
    </row>
    <row r="73" spans="1:4" ht="17" x14ac:dyDescent="0.4">
      <c r="A73" s="2" t="s">
        <v>848</v>
      </c>
      <c r="B73" s="1" t="s">
        <v>938</v>
      </c>
      <c r="C73" s="1" t="s">
        <v>939</v>
      </c>
      <c r="D73" s="1" t="s">
        <v>940</v>
      </c>
    </row>
    <row r="74" spans="1:4" ht="17" x14ac:dyDescent="0.4">
      <c r="A74" s="2" t="s">
        <v>860</v>
      </c>
      <c r="B74" s="1" t="s">
        <v>1061</v>
      </c>
      <c r="C74" s="1" t="s">
        <v>1062</v>
      </c>
      <c r="D74" s="1" t="s">
        <v>1063</v>
      </c>
    </row>
    <row r="75" spans="1:4" ht="17" x14ac:dyDescent="0.4">
      <c r="A75" s="2" t="s">
        <v>862</v>
      </c>
      <c r="B75" s="1" t="s">
        <v>1064</v>
      </c>
      <c r="C75" s="1" t="s">
        <v>1065</v>
      </c>
      <c r="D75" s="1" t="s">
        <v>1066</v>
      </c>
    </row>
    <row r="76" spans="1:4" ht="17" x14ac:dyDescent="0.4">
      <c r="A76" s="22" t="s">
        <v>864</v>
      </c>
      <c r="B76" s="1" t="s">
        <v>1067</v>
      </c>
      <c r="C76" s="1" t="s">
        <v>1067</v>
      </c>
      <c r="D76" s="1" t="s">
        <v>1068</v>
      </c>
    </row>
    <row r="77" spans="1:4" ht="17" x14ac:dyDescent="0.4">
      <c r="A77" s="22" t="s">
        <v>869</v>
      </c>
      <c r="B77" s="1" t="s">
        <v>1191</v>
      </c>
      <c r="C77" s="1" t="s">
        <v>1192</v>
      </c>
      <c r="D77" s="1" t="s">
        <v>1019</v>
      </c>
    </row>
    <row r="78" spans="1:4" ht="17" x14ac:dyDescent="0.4">
      <c r="A78" s="2" t="s">
        <v>1070</v>
      </c>
      <c r="B78" s="1" t="s">
        <v>1193</v>
      </c>
      <c r="C78" s="1" t="s">
        <v>1194</v>
      </c>
      <c r="D78" s="1" t="s">
        <v>1195</v>
      </c>
    </row>
    <row r="79" spans="1:4" ht="17" x14ac:dyDescent="0.4">
      <c r="A79" s="2" t="s">
        <v>1078</v>
      </c>
      <c r="B79" s="1" t="s">
        <v>1196</v>
      </c>
      <c r="C79" s="1" t="s">
        <v>1197</v>
      </c>
      <c r="D79" s="1" t="s">
        <v>1196</v>
      </c>
    </row>
    <row r="80" spans="1:4" ht="17" x14ac:dyDescent="0.4">
      <c r="A80" s="2" t="s">
        <v>1080</v>
      </c>
      <c r="B80" s="1" t="s">
        <v>1198</v>
      </c>
      <c r="C80" s="1" t="s">
        <v>1198</v>
      </c>
      <c r="D80" s="1" t="s">
        <v>1199</v>
      </c>
    </row>
    <row r="81" spans="1:4" ht="17" x14ac:dyDescent="0.4">
      <c r="A81" s="2" t="s">
        <v>1083</v>
      </c>
      <c r="B81" s="1" t="s">
        <v>1200</v>
      </c>
      <c r="C81" s="1" t="s">
        <v>1201</v>
      </c>
      <c r="D81" s="1" t="s">
        <v>1202</v>
      </c>
    </row>
    <row r="82" spans="1:4" ht="17" x14ac:dyDescent="0.4">
      <c r="A82" s="2" t="s">
        <v>1094</v>
      </c>
      <c r="B82" s="1" t="s">
        <v>1203</v>
      </c>
      <c r="C82" s="1" t="s">
        <v>1204</v>
      </c>
      <c r="D82" s="1" t="s">
        <v>1205</v>
      </c>
    </row>
    <row r="83" spans="1:4" ht="17" x14ac:dyDescent="0.4">
      <c r="A83" s="2" t="s">
        <v>1096</v>
      </c>
      <c r="B83" s="1" t="s">
        <v>1206</v>
      </c>
      <c r="C83" s="1" t="s">
        <v>1207</v>
      </c>
      <c r="D83" s="1" t="s">
        <v>1208</v>
      </c>
    </row>
    <row r="84" spans="1:4" ht="17" x14ac:dyDescent="0.4">
      <c r="A84" s="22" t="s">
        <v>1097</v>
      </c>
      <c r="B84" s="1" t="s">
        <v>1111</v>
      </c>
      <c r="C84" s="1" t="s">
        <v>1209</v>
      </c>
      <c r="D84" s="1" t="s">
        <v>1210</v>
      </c>
    </row>
    <row r="85" spans="1:4" ht="17" x14ac:dyDescent="0.4">
      <c r="A85" s="2" t="s">
        <v>1108</v>
      </c>
      <c r="B85" s="1" t="s">
        <v>1211</v>
      </c>
      <c r="C85" s="1" t="s">
        <v>1212</v>
      </c>
      <c r="D85" s="1" t="s">
        <v>1213</v>
      </c>
    </row>
    <row r="86" spans="1:4" ht="17" x14ac:dyDescent="0.4">
      <c r="A86" s="2" t="s">
        <v>1110</v>
      </c>
      <c r="B86" s="1" t="s">
        <v>1214</v>
      </c>
      <c r="C86" s="1" t="s">
        <v>1215</v>
      </c>
      <c r="D86" s="1" t="s">
        <v>1216</v>
      </c>
    </row>
    <row r="87" spans="1:4" ht="17" x14ac:dyDescent="0.4">
      <c r="A87" s="2" t="s">
        <v>1122</v>
      </c>
      <c r="B87" s="1" t="s">
        <v>1217</v>
      </c>
      <c r="C87" s="1" t="s">
        <v>1218</v>
      </c>
      <c r="D87" s="1" t="s">
        <v>1219</v>
      </c>
    </row>
    <row r="88" spans="1:4" ht="17" x14ac:dyDescent="0.4">
      <c r="A88" s="2" t="s">
        <v>1134</v>
      </c>
      <c r="B88" s="1" t="s">
        <v>1220</v>
      </c>
      <c r="C88" s="1" t="s">
        <v>1220</v>
      </c>
      <c r="D88" s="1" t="s">
        <v>1221</v>
      </c>
    </row>
    <row r="89" spans="1:4" ht="17" x14ac:dyDescent="0.4">
      <c r="A89" s="2" t="s">
        <v>1136</v>
      </c>
      <c r="B89" s="1" t="s">
        <v>1222</v>
      </c>
      <c r="C89" s="1" t="s">
        <v>1223</v>
      </c>
      <c r="D89" s="1" t="s">
        <v>1224</v>
      </c>
    </row>
    <row r="90" spans="1:4" ht="17" x14ac:dyDescent="0.4">
      <c r="A90" s="2" t="s">
        <v>1142</v>
      </c>
      <c r="B90" s="1" t="s">
        <v>1225</v>
      </c>
      <c r="C90" s="1" t="s">
        <v>1226</v>
      </c>
      <c r="D90" s="1" t="s">
        <v>1227</v>
      </c>
    </row>
    <row r="91" spans="1:4" ht="17" x14ac:dyDescent="0.4">
      <c r="A91" s="2" t="s">
        <v>1144</v>
      </c>
      <c r="B91" s="1" t="s">
        <v>1145</v>
      </c>
      <c r="C91" s="1" t="s">
        <v>1228</v>
      </c>
      <c r="D91" s="1" t="s">
        <v>1229</v>
      </c>
    </row>
    <row r="92" spans="1:4" ht="17" x14ac:dyDescent="0.4">
      <c r="A92" s="2" t="s">
        <v>1147</v>
      </c>
      <c r="B92" s="1" t="s">
        <v>1230</v>
      </c>
      <c r="C92" s="1" t="s">
        <v>1230</v>
      </c>
      <c r="D92" s="1" t="s">
        <v>1231</v>
      </c>
    </row>
    <row r="93" spans="1:4" ht="17" x14ac:dyDescent="0.4">
      <c r="A93" s="2" t="s">
        <v>1149</v>
      </c>
      <c r="B93" s="1" t="s">
        <v>1232</v>
      </c>
      <c r="C93" s="1" t="s">
        <v>1233</v>
      </c>
      <c r="D93" s="1" t="s">
        <v>1234</v>
      </c>
    </row>
    <row r="94" spans="1:4" ht="17" x14ac:dyDescent="0.4">
      <c r="A94" s="2" t="s">
        <v>1151</v>
      </c>
      <c r="B94" s="1" t="s">
        <v>1235</v>
      </c>
      <c r="C94" s="1" t="s">
        <v>1236</v>
      </c>
      <c r="D94" s="1" t="s">
        <v>1236</v>
      </c>
    </row>
    <row r="95" spans="1:4" ht="17" x14ac:dyDescent="0.4">
      <c r="A95" s="2" t="s">
        <v>1153</v>
      </c>
      <c r="B95" s="1" t="s">
        <v>1237</v>
      </c>
      <c r="C95" s="1" t="s">
        <v>1238</v>
      </c>
      <c r="D95" s="1" t="s">
        <v>1238</v>
      </c>
    </row>
    <row r="96" spans="1:4" ht="17" x14ac:dyDescent="0.4">
      <c r="A96" s="2" t="s">
        <v>1163</v>
      </c>
      <c r="B96" s="1" t="s">
        <v>1239</v>
      </c>
      <c r="C96" s="1" t="s">
        <v>1240</v>
      </c>
      <c r="D96" s="1" t="s">
        <v>1241</v>
      </c>
    </row>
    <row r="97" spans="1:4" ht="17" x14ac:dyDescent="0.4">
      <c r="A97" s="2" t="s">
        <v>1165</v>
      </c>
      <c r="B97" s="1" t="s">
        <v>1242</v>
      </c>
      <c r="C97" s="1" t="s">
        <v>1243</v>
      </c>
      <c r="D97" s="1" t="s">
        <v>1244</v>
      </c>
    </row>
    <row r="98" spans="1:4" ht="17" x14ac:dyDescent="0.4">
      <c r="A98" s="2" t="s">
        <v>1167</v>
      </c>
      <c r="B98" s="1" t="s">
        <v>1168</v>
      </c>
      <c r="C98" s="1" t="s">
        <v>1245</v>
      </c>
      <c r="D98" s="1" t="s">
        <v>1246</v>
      </c>
    </row>
    <row r="99" spans="1:4" ht="17" x14ac:dyDescent="0.4">
      <c r="A99" s="2" t="s">
        <v>1180</v>
      </c>
      <c r="B99" s="1" t="s">
        <v>1247</v>
      </c>
      <c r="C99" s="1" t="s">
        <v>1248</v>
      </c>
      <c r="D99" s="1" t="s">
        <v>1249</v>
      </c>
    </row>
    <row r="100" spans="1:4" ht="17" x14ac:dyDescent="0.4">
      <c r="A100" s="2" t="s">
        <v>1182</v>
      </c>
      <c r="B100" s="1" t="s">
        <v>1183</v>
      </c>
      <c r="C100" s="1" t="s">
        <v>1250</v>
      </c>
      <c r="D100" s="1" t="s">
        <v>1251</v>
      </c>
    </row>
    <row r="101" spans="1:4" ht="17" x14ac:dyDescent="0.4">
      <c r="A101" s="30" t="s">
        <v>1190</v>
      </c>
      <c r="B101" s="1" t="str">
        <f>_xlfn.TRANSLATE(ingredient_unit[[#This Row],[材料]],"zh-cht","en")</f>
        <v>Little cucumber</v>
      </c>
      <c r="C101" s="1" t="str">
        <f>_xlfn.TRANSLATE(ingredient_unit[[#This Row],[材料]],"zh-cht","fil")</f>
        <v>Munting pipino</v>
      </c>
      <c r="D101" s="1" t="str">
        <f>_xlfn.TRANSLATE(ingredient_unit[[#This Row],[材料]],"zh-cht","id")</f>
        <v>Mentimun kecil</v>
      </c>
    </row>
    <row r="102" spans="1:4" ht="17" x14ac:dyDescent="0.4">
      <c r="A102" s="2" t="s">
        <v>1253</v>
      </c>
      <c r="B102" s="1" t="str">
        <f>_xlfn.TRANSLATE(ingredient_unit[[#This Row],[材料]],"zh-cht","en")</f>
        <v>Minced pork</v>
      </c>
      <c r="C102" s="1" t="str">
        <f>_xlfn.TRANSLATE(ingredient_unit[[#This Row],[材料]],"zh-cht","fil")</f>
        <v>Minced pork</v>
      </c>
      <c r="D102" s="1" t="str">
        <f>_xlfn.TRANSLATE(ingredient_unit[[#This Row],[材料]],"zh-cht","id")</f>
        <v>Daging babi cincang</v>
      </c>
    </row>
    <row r="103" spans="1:4" ht="17" x14ac:dyDescent="0.4">
      <c r="A103" s="2" t="s">
        <v>1255</v>
      </c>
      <c r="B103" s="1" t="str">
        <f>_xlfn.TRANSLATE(ingredient_unit[[#This Row],[材料]],"zh-cht","en")</f>
        <v>Doubanjiang</v>
      </c>
      <c r="C103" s="1" t="str">
        <f>_xlfn.TRANSLATE(ingredient_unit[[#This Row],[材料]],"zh-cht","fil")</f>
        <v>Doubanjiang</v>
      </c>
      <c r="D103" s="1" t="str">
        <f>_xlfn.TRANSLATE(ingredient_unit[[#This Row],[材料]],"zh-cht","id")</f>
        <v>Doubanjiang</v>
      </c>
    </row>
    <row r="104" spans="1:4" ht="17" x14ac:dyDescent="0.4">
      <c r="A104" s="2" t="s">
        <v>1266</v>
      </c>
      <c r="B104" s="1" t="str">
        <f>_xlfn.TRANSLATE(ingredient_unit[[#This Row],[材料]],"zh-cht","en")</f>
        <v>Salted mackerel</v>
      </c>
      <c r="C104" s="1" t="str">
        <f>_xlfn.TRANSLATE(ingredient_unit[[#This Row],[材料]],"zh-cht","fil")</f>
        <v>Mackerel na may alat</v>
      </c>
      <c r="D104" s="1" t="str">
        <f>_xlfn.TRANSLATE(ingredient_unit[[#This Row],[材料]],"zh-cht","id")</f>
        <v>ikan kembung asin</v>
      </c>
    </row>
    <row r="105" spans="1:4" ht="17" x14ac:dyDescent="0.4">
      <c r="A105" s="22" t="s">
        <v>1270</v>
      </c>
      <c r="B105" s="1" t="str">
        <f>_xlfn.TRANSLATE(ingredient_unit[[#This Row],[材料]],"zh-cht","en")</f>
        <v>Water bamboo shoots</v>
      </c>
      <c r="C105" s="1" t="str">
        <f>_xlfn.TRANSLATE(ingredient_unit[[#This Row],[材料]],"zh-cht","fil")</f>
        <v>Mga usbong ng kawayan na tubig</v>
      </c>
      <c r="D105" s="1" t="str">
        <f>_xlfn.TRANSLATE(ingredient_unit[[#This Row],[材料]],"zh-cht","id")</f>
        <v>Rebung air</v>
      </c>
    </row>
    <row r="106" spans="1:4" ht="17" x14ac:dyDescent="0.4">
      <c r="A106" s="22" t="s">
        <v>1274</v>
      </c>
      <c r="B106" s="1" t="str">
        <f>_xlfn.TRANSLATE(ingredient_unit[[#This Row],[材料]],"zh-cht","en")</f>
        <v>Asparagus</v>
      </c>
      <c r="C106" s="1" t="str">
        <f>_xlfn.TRANSLATE(ingredient_unit[[#This Row],[材料]],"zh-cht","fil")</f>
        <v>asparagus</v>
      </c>
      <c r="D106" s="1" t="str">
        <f>_xlfn.TRANSLATE(ingredient_unit[[#This Row],[材料]],"zh-cht","id")</f>
        <v>asparagus</v>
      </c>
    </row>
    <row r="107" spans="1:4" ht="17" x14ac:dyDescent="0.4">
      <c r="A107" s="22" t="s">
        <v>1275</v>
      </c>
      <c r="B107" s="1" t="str">
        <f>_xlfn.TRANSLATE(ingredient_unit[[#This Row],[材料]],"zh-cht","en")</f>
        <v>Pineapple</v>
      </c>
      <c r="C107" s="1" t="str">
        <f>_xlfn.TRANSLATE(ingredient_unit[[#This Row],[材料]],"zh-cht","fil")</f>
        <v>pinya</v>
      </c>
      <c r="D107" s="1" t="str">
        <f>_xlfn.TRANSLATE(ingredient_unit[[#This Row],[材料]],"zh-cht","id")</f>
        <v>nanas</v>
      </c>
    </row>
    <row r="108" spans="1:4" ht="17" x14ac:dyDescent="0.4">
      <c r="A108" s="2" t="s">
        <v>1330</v>
      </c>
      <c r="B108" s="1" t="str">
        <f>_xlfn.TRANSLATE(ingredient_unit[[#This Row],[材料]],"zh-cht","en")</f>
        <v>White radish</v>
      </c>
      <c r="C108" s="1" t="str">
        <f>_xlfn.TRANSLATE(ingredient_unit[[#This Row],[材料]],"zh-cht","fil")</f>
        <v>Puting labanos</v>
      </c>
      <c r="D108" s="1" t="str">
        <f>_xlfn.TRANSLATE(ingredient_unit[[#This Row],[材料]],"zh-cht","id")</f>
        <v>Lobak putih</v>
      </c>
    </row>
    <row r="109" spans="1:4" ht="17" x14ac:dyDescent="0.4">
      <c r="A109" s="2" t="s">
        <v>1332</v>
      </c>
      <c r="B109" s="1" t="str">
        <f>_xlfn.TRANSLATE(ingredient_unit[[#This Row],[材料]],"zh-cht","en")</f>
        <v>Garlic sprouts</v>
      </c>
      <c r="C109" s="1" t="str">
        <f>_xlfn.TRANSLATE(ingredient_unit[[#This Row],[材料]],"zh-cht","fil")</f>
        <v>Mga usbong ng bawang</v>
      </c>
      <c r="D109" s="1" t="str">
        <f>_xlfn.TRANSLATE(ingredient_unit[[#This Row],[材料]],"zh-cht","id")</f>
        <v>Kecambah bawang putih</v>
      </c>
    </row>
    <row r="110" spans="1:4" ht="17" x14ac:dyDescent="0.4">
      <c r="A110" s="2" t="s">
        <v>2320</v>
      </c>
      <c r="B110" s="1" t="str">
        <f>_xlfn.TRANSLATE(ingredient_unit[[#This Row],[材料]],"zh-cht","en")</f>
        <v>Shrimp</v>
      </c>
      <c r="C110" s="1" t="str">
        <f>_xlfn.TRANSLATE(ingredient_unit[[#This Row],[材料]],"zh-cht","fil")</f>
        <v>hipon</v>
      </c>
      <c r="D110" s="1" t="str">
        <f>_xlfn.TRANSLATE(ingredient_unit[[#This Row],[材料]],"zh-cht","id")</f>
        <v>udang</v>
      </c>
    </row>
    <row r="111" spans="1:4" ht="17" x14ac:dyDescent="0.4">
      <c r="A111" s="2" t="s">
        <v>2323</v>
      </c>
      <c r="B111" s="1" t="str">
        <f>_xlfn.TRANSLATE(ingredient_unit[[#This Row],[材料]],"zh-cht","en")</f>
        <v>Chopped scallions</v>
      </c>
      <c r="C111" s="1" t="str">
        <f>_xlfn.TRANSLATE(ingredient_unit[[#This Row],[材料]],"zh-cht","fil")</f>
        <v>Tinadtad na sibuyas</v>
      </c>
      <c r="D111" s="1" t="str">
        <f>_xlfn.TRANSLATE(ingredient_unit[[#This Row],[材料]],"zh-cht","id")</f>
        <v>Daun bawang cincang</v>
      </c>
    </row>
    <row r="112" spans="1:4" ht="17" x14ac:dyDescent="0.4">
      <c r="A112" s="2" t="s">
        <v>2329</v>
      </c>
      <c r="B112" s="1" t="str">
        <f>_xlfn.TRANSLATE(ingredient_unit[[#This Row],[材料]],"zh-cht","en")</f>
        <v>Winter melon</v>
      </c>
      <c r="C112" s="1" t="str">
        <f>_xlfn.TRANSLATE(ingredient_unit[[#This Row],[材料]],"zh-cht","fil")</f>
        <v>Winter melon</v>
      </c>
      <c r="D112" s="1" t="str">
        <f>_xlfn.TRANSLATE(ingredient_unit[[#This Row],[材料]],"zh-cht","id")</f>
        <v>Melon musim dingin</v>
      </c>
    </row>
    <row r="113" spans="1:4" ht="17" x14ac:dyDescent="0.4">
      <c r="A113" s="2" t="s">
        <v>2331</v>
      </c>
      <c r="B113" s="1" t="str">
        <f>_xlfn.TRANSLATE(ingredient_unit[[#This Row],[材料]],"zh-cht","en")</f>
        <v>Shallots</v>
      </c>
      <c r="C113" s="1" t="str">
        <f>_xlfn.TRANSLATE(ingredient_unit[[#This Row],[材料]],"zh-cht","fil")</f>
        <v>Shallots</v>
      </c>
      <c r="D113" s="1" t="str">
        <f>_xlfn.TRANSLATE(ingredient_unit[[#This Row],[材料]],"zh-cht","id")</f>
        <v>bawang merah</v>
      </c>
    </row>
    <row r="114" spans="1:4" ht="17" x14ac:dyDescent="0.4">
      <c r="A114" s="2" t="s">
        <v>2333</v>
      </c>
      <c r="B114" s="1" t="str">
        <f>_xlfn.TRANSLATE(ingredient_unit[[#This Row],[材料]],"zh-cht","en")</f>
        <v>Rock sugar</v>
      </c>
      <c r="C114" s="1" t="str">
        <f>_xlfn.TRANSLATE(ingredient_unit[[#This Row],[材料]],"zh-cht","fil")</f>
        <v>Asukal na bato</v>
      </c>
      <c r="D114" s="1" t="str">
        <f>_xlfn.TRANSLATE(ingredient_unit[[#This Row],[材料]],"zh-cht","id")</f>
        <v>Gula batu</v>
      </c>
    </row>
    <row r="115" spans="1:4" ht="17" x14ac:dyDescent="0.4">
      <c r="A115" s="2" t="s">
        <v>2335</v>
      </c>
      <c r="B115" s="1" t="str">
        <f>_xlfn.TRANSLATE(ingredient_unit[[#This Row],[材料]],"zh-cht","en")</f>
        <v>Rice wine</v>
      </c>
      <c r="C115" s="1" t="str">
        <f>_xlfn.TRANSLATE(ingredient_unit[[#This Row],[材料]],"zh-cht","fil")</f>
        <v>Alak na bigas</v>
      </c>
      <c r="D115" s="1" t="str">
        <f>_xlfn.TRANSLATE(ingredient_unit[[#This Row],[材料]],"zh-cht","id")</f>
        <v>Anggur beras</v>
      </c>
    </row>
    <row r="116" spans="1:4" ht="17" x14ac:dyDescent="0.4">
      <c r="A116" s="2" t="s">
        <v>2342</v>
      </c>
      <c r="B116" s="1" t="str">
        <f>_xlfn.TRANSLATE(ingredient_unit[[#This Row],[材料]],"zh-cht","en")</f>
        <v>Fennel powder</v>
      </c>
      <c r="C116" s="45" t="str">
        <f>_xlfn.TRANSLATE(ingredient_unit[[#This Row],[材料]],"zh-cht","fil")</f>
        <v>Pulbos ng fennel</v>
      </c>
      <c r="D116" s="45" t="str">
        <f>_xlfn.TRANSLATE(ingredient_unit[[#This Row],[材料]],"zh-cht","id")</f>
        <v>Bubuk adas</v>
      </c>
    </row>
    <row r="117" spans="1:4" ht="17" x14ac:dyDescent="0.4">
      <c r="A117" s="2" t="s">
        <v>2344</v>
      </c>
      <c r="B117" s="1" t="str">
        <f>_xlfn.TRANSLATE(ingredient_unit[[#This Row],[材料]],"zh-cht","en")</f>
        <v>Lime juice</v>
      </c>
      <c r="C117" s="45" t="str">
        <f>_xlfn.TRANSLATE(ingredient_unit[[#This Row],[材料]],"zh-cht","fil")</f>
        <v>katas ng dayap</v>
      </c>
      <c r="D117" s="45" t="str">
        <f>_xlfn.TRANSLATE(ingredient_unit[[#This Row],[材料]],"zh-cht","id")</f>
        <v>Jus jeruk nipis</v>
      </c>
    </row>
    <row r="118" spans="1:4" ht="17" x14ac:dyDescent="0.4">
      <c r="A118" s="2" t="s">
        <v>2346</v>
      </c>
      <c r="B118" s="1" t="str">
        <f>_xlfn.TRANSLATE(ingredient_unit[[#This Row],[材料]],"zh-cht","en")</f>
        <v>Pinto beans</v>
      </c>
      <c r="C118" s="45" t="str">
        <f>_xlfn.TRANSLATE(ingredient_unit[[#This Row],[材料]],"zh-cht","fil")</f>
        <v>Pinto beans</v>
      </c>
      <c r="D118" s="45" t="str">
        <f>_xlfn.TRANSLATE(ingredient_unit[[#This Row],[材料]],"zh-cht","id")</f>
        <v>Kacang Pinto</v>
      </c>
    </row>
    <row r="119" spans="1:4" ht="17" x14ac:dyDescent="0.4">
      <c r="A119" s="2" t="s">
        <v>2348</v>
      </c>
      <c r="B119" s="1" t="str">
        <f>_xlfn.TRANSLATE(ingredient_unit[[#This Row],[材料]],"zh-cht","en")</f>
        <v>Chili powder</v>
      </c>
      <c r="C119" s="45" t="str">
        <f>_xlfn.TRANSLATE(ingredient_unit[[#This Row],[英文]],"en","fil")</f>
        <v>Pulbos ng sili</v>
      </c>
      <c r="D119" s="45" t="str">
        <f>_xlfn.TRANSLATE(ingredient_unit[[#This Row],[英文]],"en","id")</f>
        <v>Bubuk cabai</v>
      </c>
    </row>
    <row r="120" spans="1:4" ht="17" x14ac:dyDescent="0.4">
      <c r="A120" s="2" t="s">
        <v>2349</v>
      </c>
      <c r="B120" s="1" t="str">
        <f>_xlfn.TRANSLATE(ingredient_unit[[#This Row],[材料]],"zh-cht","en")</f>
        <v>Millet grains</v>
      </c>
      <c r="C120" s="45" t="str">
        <f>_xlfn.TRANSLATE(ingredient_unit[[#This Row],[材料]],"zh-cht","fil")</f>
        <v>Mga butil ng millet</v>
      </c>
      <c r="D120" s="45" t="str">
        <f>_xlfn.TRANSLATE(ingredient_unit[[#This Row],[材料]],"zh-cht","id")</f>
        <v>Butir millet</v>
      </c>
    </row>
    <row r="121" spans="1:4" ht="17" x14ac:dyDescent="0.4">
      <c r="A121" s="2" t="s">
        <v>2351</v>
      </c>
      <c r="B121" s="1" t="s">
        <v>2352</v>
      </c>
      <c r="C121" s="45" t="str">
        <f>_xlfn.TRANSLATE(ingredient_unit[[#This Row],[英文]],"en","fil")</f>
        <v>Berdeng sili</v>
      </c>
      <c r="D121" s="45" t="str">
        <f>_xlfn.TRANSLATE(ingredient_unit[[#This Row],[英文]],"en","id")</f>
        <v>Cabai hijau</v>
      </c>
    </row>
    <row r="122" spans="1:4" ht="17" x14ac:dyDescent="0.4">
      <c r="A122" s="2" t="s">
        <v>2357</v>
      </c>
      <c r="B122" s="1" t="s">
        <v>2358</v>
      </c>
      <c r="C122" s="45" t="str">
        <f>_xlfn.TRANSLATE(ingredient_unit[[#This Row],[英文]],"en","fil")</f>
        <v>tortilla</v>
      </c>
      <c r="D122" s="45" t="str">
        <f>_xlfn.TRANSLATE(ingredient_unit[[#This Row],[英文]],"en","id")</f>
        <v>tortilla</v>
      </c>
    </row>
  </sheetData>
  <phoneticPr fontId="2" type="noConversion"/>
  <pageMargins left="0.7" right="0.7" top="0.75" bottom="0.75" header="0.3" footer="0.3"/>
  <ignoredErrors>
    <ignoredError sqref="C4:D100" calculatedColumn="1"/>
  </ignoredError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68BE8-BBDC-4718-ACF0-5E3D83DB959E}">
  <dimension ref="A1:F12"/>
  <sheetViews>
    <sheetView workbookViewId="0">
      <selection activeCell="C9" sqref="C9"/>
    </sheetView>
  </sheetViews>
  <sheetFormatPr defaultRowHeight="17" x14ac:dyDescent="0.4"/>
  <cols>
    <col min="1" max="1" width="8.7265625" style="1"/>
    <col min="2" max="2" width="8.7265625" style="18"/>
    <col min="3" max="3" width="10" bestFit="1" customWidth="1"/>
    <col min="4" max="4" width="13.453125" bestFit="1" customWidth="1"/>
    <col min="5" max="5" width="10" bestFit="1" customWidth="1"/>
  </cols>
  <sheetData>
    <row r="1" spans="1:6" x14ac:dyDescent="0.4">
      <c r="B1" s="16"/>
    </row>
    <row r="2" spans="1:6" x14ac:dyDescent="0.4">
      <c r="A2" s="2" t="s">
        <v>712</v>
      </c>
      <c r="B2" s="17" t="s">
        <v>111</v>
      </c>
      <c r="C2" s="14" t="s">
        <v>558</v>
      </c>
      <c r="D2" s="14" t="s">
        <v>123</v>
      </c>
      <c r="E2" s="14" t="s">
        <v>122</v>
      </c>
      <c r="F2" s="13" t="s">
        <v>541</v>
      </c>
    </row>
    <row r="3" spans="1:6" x14ac:dyDescent="0.4">
      <c r="A3" s="2" t="s">
        <v>475</v>
      </c>
      <c r="B3" t="s">
        <v>110</v>
      </c>
      <c r="C3" t="s">
        <v>556</v>
      </c>
      <c r="D3" t="s">
        <v>250</v>
      </c>
      <c r="E3" s="2" t="s">
        <v>225</v>
      </c>
      <c r="F3" t="s">
        <v>543</v>
      </c>
    </row>
    <row r="4" spans="1:6" x14ac:dyDescent="0.4">
      <c r="A4" s="2" t="s">
        <v>26</v>
      </c>
      <c r="B4" t="s">
        <v>457</v>
      </c>
      <c r="C4" t="s">
        <v>557</v>
      </c>
      <c r="D4" t="s">
        <v>249</v>
      </c>
      <c r="E4" s="2" t="s">
        <v>245</v>
      </c>
      <c r="F4" t="s">
        <v>545</v>
      </c>
    </row>
    <row r="5" spans="1:6" x14ac:dyDescent="0.4">
      <c r="A5" s="2" t="s">
        <v>107</v>
      </c>
      <c r="B5" t="s">
        <v>458</v>
      </c>
      <c r="C5" t="s">
        <v>559</v>
      </c>
      <c r="D5" t="s">
        <v>226</v>
      </c>
      <c r="E5" s="2" t="s">
        <v>460</v>
      </c>
      <c r="F5" t="s">
        <v>547</v>
      </c>
    </row>
    <row r="6" spans="1:6" x14ac:dyDescent="0.4">
      <c r="A6" s="2" t="s">
        <v>106</v>
      </c>
      <c r="B6"/>
      <c r="C6" t="s">
        <v>792</v>
      </c>
      <c r="D6" t="s">
        <v>230</v>
      </c>
      <c r="E6" s="2" t="s">
        <v>246</v>
      </c>
      <c r="F6" t="s">
        <v>549</v>
      </c>
    </row>
    <row r="7" spans="1:6" x14ac:dyDescent="0.4">
      <c r="A7" s="2" t="s">
        <v>5</v>
      </c>
      <c r="B7"/>
      <c r="C7" t="s">
        <v>497</v>
      </c>
      <c r="D7" s="2" t="s">
        <v>229</v>
      </c>
      <c r="E7" s="2" t="s">
        <v>486</v>
      </c>
    </row>
    <row r="8" spans="1:6" x14ac:dyDescent="0.4">
      <c r="A8" s="2" t="s">
        <v>713</v>
      </c>
      <c r="B8"/>
      <c r="C8" t="s">
        <v>549</v>
      </c>
      <c r="D8" s="2" t="s">
        <v>248</v>
      </c>
      <c r="E8" s="2" t="s">
        <v>498</v>
      </c>
    </row>
    <row r="9" spans="1:6" x14ac:dyDescent="0.4">
      <c r="A9" s="2" t="s">
        <v>12</v>
      </c>
      <c r="B9"/>
      <c r="D9" s="2" t="s">
        <v>228</v>
      </c>
      <c r="E9" s="2" t="s">
        <v>535</v>
      </c>
    </row>
    <row r="10" spans="1:6" x14ac:dyDescent="0.4">
      <c r="A10" s="2" t="s">
        <v>108</v>
      </c>
      <c r="B10"/>
      <c r="D10" s="2" t="s">
        <v>247</v>
      </c>
      <c r="E10" s="2" t="s">
        <v>537</v>
      </c>
    </row>
    <row r="11" spans="1:6" x14ac:dyDescent="0.4">
      <c r="A11" s="2" t="s">
        <v>34</v>
      </c>
      <c r="D11" s="2" t="s">
        <v>249</v>
      </c>
    </row>
    <row r="12" spans="1:6" x14ac:dyDescent="0.4">
      <c r="D12" s="2" t="s">
        <v>227</v>
      </c>
    </row>
  </sheetData>
  <phoneticPr fontId="2"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2E9DF-38CD-4619-BD99-2B77381EC25B}">
  <dimension ref="A2:E261"/>
  <sheetViews>
    <sheetView topLeftCell="A259" workbookViewId="0">
      <selection activeCell="E248" sqref="E248"/>
    </sheetView>
  </sheetViews>
  <sheetFormatPr defaultRowHeight="17" x14ac:dyDescent="0.4"/>
  <cols>
    <col min="1" max="1" width="20.1796875" customWidth="1"/>
    <col min="2" max="2" width="44.81640625" customWidth="1"/>
    <col min="3" max="4" width="23.26953125" customWidth="1"/>
  </cols>
  <sheetData>
    <row r="2" spans="1:5" x14ac:dyDescent="0.4">
      <c r="A2" s="32" t="s">
        <v>1306</v>
      </c>
      <c r="B2" s="32" t="s">
        <v>1307</v>
      </c>
      <c r="C2" s="39" t="s">
        <v>1308</v>
      </c>
      <c r="D2" s="32" t="s">
        <v>2311</v>
      </c>
      <c r="E2" s="32" t="s">
        <v>1280</v>
      </c>
    </row>
    <row r="3" spans="1:5" ht="29" x14ac:dyDescent="0.4">
      <c r="A3" s="34" t="s">
        <v>1309</v>
      </c>
      <c r="B3" s="34" t="s">
        <v>1336</v>
      </c>
      <c r="C3" s="34" t="s">
        <v>1337</v>
      </c>
      <c r="D3" s="34" t="s">
        <v>1338</v>
      </c>
      <c r="E3" s="37"/>
    </row>
    <row r="4" spans="1:5" x14ac:dyDescent="0.4">
      <c r="A4" s="35" t="s">
        <v>1310</v>
      </c>
      <c r="B4" s="35" t="s">
        <v>1339</v>
      </c>
      <c r="C4" s="35" t="s">
        <v>1340</v>
      </c>
      <c r="D4" s="35" t="s">
        <v>1341</v>
      </c>
      <c r="E4" s="36"/>
    </row>
    <row r="5" spans="1:5" ht="29" x14ac:dyDescent="0.4">
      <c r="A5" s="34" t="s">
        <v>1311</v>
      </c>
      <c r="B5" s="34" t="s">
        <v>1342</v>
      </c>
      <c r="C5" s="34" t="s">
        <v>1343</v>
      </c>
      <c r="D5" s="34" t="s">
        <v>1344</v>
      </c>
      <c r="E5" s="36"/>
    </row>
    <row r="6" spans="1:5" ht="43.5" x14ac:dyDescent="0.4">
      <c r="A6" s="40" t="s">
        <v>2312</v>
      </c>
      <c r="B6" s="35" t="s">
        <v>1345</v>
      </c>
      <c r="C6" s="35" t="s">
        <v>1346</v>
      </c>
      <c r="D6" s="35" t="s">
        <v>1347</v>
      </c>
      <c r="E6" s="36"/>
    </row>
    <row r="7" spans="1:5" ht="43.5" x14ac:dyDescent="0.4">
      <c r="A7" s="34" t="s">
        <v>1282</v>
      </c>
      <c r="B7" s="34" t="s">
        <v>1348</v>
      </c>
      <c r="C7" s="34" t="s">
        <v>1349</v>
      </c>
      <c r="D7" s="34" t="s">
        <v>1350</v>
      </c>
      <c r="E7" s="36"/>
    </row>
    <row r="8" spans="1:5" x14ac:dyDescent="0.4">
      <c r="A8" s="35" t="s">
        <v>1312</v>
      </c>
      <c r="B8" s="35" t="s">
        <v>1283</v>
      </c>
      <c r="C8" s="35" t="s">
        <v>1351</v>
      </c>
      <c r="D8" s="35" t="s">
        <v>1352</v>
      </c>
      <c r="E8" s="36"/>
    </row>
    <row r="9" spans="1:5" ht="29" x14ac:dyDescent="0.4">
      <c r="A9" s="34" t="s">
        <v>1313</v>
      </c>
      <c r="B9" s="34" t="s">
        <v>1353</v>
      </c>
      <c r="C9" s="34" t="s">
        <v>1354</v>
      </c>
      <c r="D9" s="34" t="s">
        <v>1355</v>
      </c>
      <c r="E9" s="36"/>
    </row>
    <row r="10" spans="1:5" ht="29" x14ac:dyDescent="0.4">
      <c r="A10" s="35" t="s">
        <v>1284</v>
      </c>
      <c r="B10" s="35" t="s">
        <v>1356</v>
      </c>
      <c r="C10" s="35" t="s">
        <v>1357</v>
      </c>
      <c r="D10" s="35" t="s">
        <v>1358</v>
      </c>
      <c r="E10" s="36"/>
    </row>
    <row r="11" spans="1:5" ht="43.5" x14ac:dyDescent="0.4">
      <c r="A11" s="34" t="s">
        <v>1287</v>
      </c>
      <c r="B11" s="34" t="s">
        <v>1359</v>
      </c>
      <c r="C11" s="34" t="s">
        <v>1360</v>
      </c>
      <c r="D11" s="34" t="s">
        <v>1361</v>
      </c>
      <c r="E11" s="36"/>
    </row>
    <row r="12" spans="1:5" ht="29" x14ac:dyDescent="0.4">
      <c r="A12" s="35" t="s">
        <v>1286</v>
      </c>
      <c r="B12" s="35" t="s">
        <v>1362</v>
      </c>
      <c r="C12" s="35" t="s">
        <v>1363</v>
      </c>
      <c r="D12" s="35" t="s">
        <v>1364</v>
      </c>
      <c r="E12" s="36"/>
    </row>
    <row r="13" spans="1:5" ht="29" x14ac:dyDescent="0.4">
      <c r="A13" s="34" t="s">
        <v>1285</v>
      </c>
      <c r="B13" s="34" t="s">
        <v>1365</v>
      </c>
      <c r="C13" s="34" t="s">
        <v>1366</v>
      </c>
      <c r="D13" s="34" t="s">
        <v>1367</v>
      </c>
      <c r="E13" s="36"/>
    </row>
    <row r="14" spans="1:5" ht="29" x14ac:dyDescent="0.4">
      <c r="A14" s="35" t="s">
        <v>1288</v>
      </c>
      <c r="B14" s="35" t="s">
        <v>1368</v>
      </c>
      <c r="C14" s="35" t="s">
        <v>1369</v>
      </c>
      <c r="D14" s="35" t="s">
        <v>1370</v>
      </c>
      <c r="E14" s="36"/>
    </row>
    <row r="15" spans="1:5" ht="29" x14ac:dyDescent="0.4">
      <c r="A15" s="34" t="s">
        <v>1289</v>
      </c>
      <c r="B15" s="34" t="s">
        <v>1371</v>
      </c>
      <c r="C15" s="34" t="s">
        <v>1372</v>
      </c>
      <c r="D15" s="34" t="s">
        <v>1373</v>
      </c>
      <c r="E15" s="36"/>
    </row>
    <row r="16" spans="1:5" ht="29" x14ac:dyDescent="0.4">
      <c r="A16" s="35" t="s">
        <v>1290</v>
      </c>
      <c r="B16" s="35" t="s">
        <v>1374</v>
      </c>
      <c r="C16" s="35" t="s">
        <v>1375</v>
      </c>
      <c r="D16" s="35" t="s">
        <v>1376</v>
      </c>
      <c r="E16" s="36"/>
    </row>
    <row r="17" spans="1:5" ht="101.5" x14ac:dyDescent="0.4">
      <c r="A17" s="34" t="s">
        <v>1292</v>
      </c>
      <c r="B17" s="34" t="s">
        <v>1377</v>
      </c>
      <c r="C17" s="34" t="s">
        <v>1378</v>
      </c>
      <c r="D17" s="34" t="s">
        <v>1379</v>
      </c>
      <c r="E17" s="36" t="s">
        <v>1380</v>
      </c>
    </row>
    <row r="18" spans="1:5" ht="29" x14ac:dyDescent="0.4">
      <c r="A18" s="35" t="s">
        <v>1293</v>
      </c>
      <c r="B18" s="35" t="s">
        <v>1381</v>
      </c>
      <c r="C18" s="35" t="s">
        <v>1382</v>
      </c>
      <c r="D18" s="35" t="s">
        <v>1383</v>
      </c>
      <c r="E18" s="36"/>
    </row>
    <row r="19" spans="1:5" ht="116" x14ac:dyDescent="0.4">
      <c r="A19" s="34" t="s">
        <v>1295</v>
      </c>
      <c r="B19" s="34" t="s">
        <v>1384</v>
      </c>
      <c r="C19" s="34" t="s">
        <v>1385</v>
      </c>
      <c r="D19" s="34" t="s">
        <v>1386</v>
      </c>
      <c r="E19" s="36" t="s">
        <v>1387</v>
      </c>
    </row>
    <row r="20" spans="1:5" ht="87" x14ac:dyDescent="0.4">
      <c r="A20" s="35" t="s">
        <v>1388</v>
      </c>
      <c r="B20" s="35" t="s">
        <v>1389</v>
      </c>
      <c r="C20" s="35" t="s">
        <v>1390</v>
      </c>
      <c r="D20" s="35" t="s">
        <v>1391</v>
      </c>
      <c r="E20" s="36" t="s">
        <v>1392</v>
      </c>
    </row>
    <row r="21" spans="1:5" x14ac:dyDescent="0.4">
      <c r="A21" s="34" t="s">
        <v>1296</v>
      </c>
      <c r="B21" s="34" t="s">
        <v>1393</v>
      </c>
      <c r="C21" s="34" t="s">
        <v>1394</v>
      </c>
      <c r="D21" s="34" t="s">
        <v>1395</v>
      </c>
      <c r="E21" s="36"/>
    </row>
    <row r="22" spans="1:5" ht="29" x14ac:dyDescent="0.4">
      <c r="A22" s="35" t="s">
        <v>1297</v>
      </c>
      <c r="B22" s="35" t="s">
        <v>1396</v>
      </c>
      <c r="C22" s="35" t="s">
        <v>1397</v>
      </c>
      <c r="D22" s="35" t="s">
        <v>1398</v>
      </c>
      <c r="E22" s="36"/>
    </row>
    <row r="23" spans="1:5" ht="43.5" x14ac:dyDescent="0.4">
      <c r="A23" s="34" t="s">
        <v>1399</v>
      </c>
      <c r="B23" s="34" t="s">
        <v>1298</v>
      </c>
      <c r="C23" s="34" t="str">
        <f>_xlfn.TRANSLATE(dish_trans[[#This Row],[英文翻譯 (English)]],"en","fil")</f>
        <v>Dinudurog na patatas na may miced meat sa tomato sauce</v>
      </c>
      <c r="D23" s="34" t="str">
        <f>_xlfn.TRANSLATE(dish_trans[[#This Row],[英文翻譯 (English)]],"en","id")</f>
        <v>Kentang tumbuk dengan daging mikro dalam saus tomat</v>
      </c>
      <c r="E23" s="36"/>
    </row>
    <row r="24" spans="1:5" ht="43.5" x14ac:dyDescent="0.4">
      <c r="A24" s="35" t="s">
        <v>1299</v>
      </c>
      <c r="B24" s="35" t="s">
        <v>1400</v>
      </c>
      <c r="C24" s="35" t="s">
        <v>1401</v>
      </c>
      <c r="D24" s="35" t="s">
        <v>1402</v>
      </c>
      <c r="E24" s="36"/>
    </row>
    <row r="25" spans="1:5" ht="29" x14ac:dyDescent="0.4">
      <c r="A25" s="34" t="s">
        <v>1300</v>
      </c>
      <c r="B25" s="34" t="s">
        <v>1403</v>
      </c>
      <c r="C25" s="34" t="s">
        <v>1404</v>
      </c>
      <c r="D25" s="34" t="s">
        <v>1405</v>
      </c>
      <c r="E25" s="36"/>
    </row>
    <row r="26" spans="1:5" ht="29" x14ac:dyDescent="0.4">
      <c r="A26" s="35" t="s">
        <v>1301</v>
      </c>
      <c r="B26" s="35" t="s">
        <v>1406</v>
      </c>
      <c r="C26" s="35" t="s">
        <v>1407</v>
      </c>
      <c r="D26" s="35" t="s">
        <v>1408</v>
      </c>
      <c r="E26" s="36"/>
    </row>
    <row r="27" spans="1:5" ht="29" x14ac:dyDescent="0.4">
      <c r="A27" s="34" t="s">
        <v>1302</v>
      </c>
      <c r="B27" s="34" t="s">
        <v>1409</v>
      </c>
      <c r="C27" s="34" t="s">
        <v>1410</v>
      </c>
      <c r="D27" s="34" t="s">
        <v>1411</v>
      </c>
      <c r="E27" s="36"/>
    </row>
    <row r="28" spans="1:5" ht="29" x14ac:dyDescent="0.4">
      <c r="A28" s="35" t="s">
        <v>1303</v>
      </c>
      <c r="B28" s="35" t="s">
        <v>1412</v>
      </c>
      <c r="C28" s="35" t="s">
        <v>1413</v>
      </c>
      <c r="D28" s="35" t="s">
        <v>1414</v>
      </c>
      <c r="E28" s="36"/>
    </row>
    <row r="29" spans="1:5" ht="29" x14ac:dyDescent="0.4">
      <c r="A29" s="34" t="s">
        <v>1304</v>
      </c>
      <c r="B29" s="34" t="s">
        <v>1415</v>
      </c>
      <c r="C29" s="34" t="s">
        <v>1416</v>
      </c>
      <c r="D29" s="34" t="s">
        <v>1417</v>
      </c>
      <c r="E29" s="36"/>
    </row>
    <row r="30" spans="1:5" ht="29" x14ac:dyDescent="0.4">
      <c r="A30" s="35" t="s">
        <v>1305</v>
      </c>
      <c r="B30" s="35" t="s">
        <v>1418</v>
      </c>
      <c r="C30" s="35" t="s">
        <v>1419</v>
      </c>
      <c r="D30" s="35" t="s">
        <v>1420</v>
      </c>
      <c r="E30" s="36"/>
    </row>
    <row r="31" spans="1:5" x14ac:dyDescent="0.4">
      <c r="A31" s="34" t="s">
        <v>1421</v>
      </c>
      <c r="B31" s="34" t="s">
        <v>1422</v>
      </c>
      <c r="C31" s="34" t="s">
        <v>1423</v>
      </c>
      <c r="D31" s="34" t="s">
        <v>1424</v>
      </c>
      <c r="E31" s="36"/>
    </row>
    <row r="32" spans="1:5" ht="29" x14ac:dyDescent="0.4">
      <c r="A32" s="35" t="s">
        <v>1324</v>
      </c>
      <c r="B32" s="35" t="s">
        <v>1425</v>
      </c>
      <c r="C32" s="35" t="s">
        <v>1426</v>
      </c>
      <c r="D32" s="35" t="s">
        <v>1427</v>
      </c>
      <c r="E32" s="36"/>
    </row>
    <row r="33" spans="1:5" x14ac:dyDescent="0.4">
      <c r="A33" s="34" t="s">
        <v>1428</v>
      </c>
      <c r="B33" s="34" t="s">
        <v>1429</v>
      </c>
      <c r="C33" s="34" t="s">
        <v>1430</v>
      </c>
      <c r="D33" s="34" t="s">
        <v>1431</v>
      </c>
      <c r="E33" s="36"/>
    </row>
    <row r="34" spans="1:5" ht="29" x14ac:dyDescent="0.4">
      <c r="A34" s="35" t="s">
        <v>1432</v>
      </c>
      <c r="B34" s="35" t="s">
        <v>1433</v>
      </c>
      <c r="C34" s="35" t="s">
        <v>1434</v>
      </c>
      <c r="D34" s="35" t="s">
        <v>1435</v>
      </c>
      <c r="E34" s="36"/>
    </row>
    <row r="35" spans="1:5" ht="43.5" x14ac:dyDescent="0.4">
      <c r="A35" s="34" t="s">
        <v>1436</v>
      </c>
      <c r="B35" s="34" t="s">
        <v>1437</v>
      </c>
      <c r="C35" s="34" t="s">
        <v>1438</v>
      </c>
      <c r="D35" s="34" t="s">
        <v>1439</v>
      </c>
      <c r="E35" s="36"/>
    </row>
    <row r="36" spans="1:5" ht="29" x14ac:dyDescent="0.4">
      <c r="A36" s="35" t="s">
        <v>1440</v>
      </c>
      <c r="B36" s="35" t="s">
        <v>1441</v>
      </c>
      <c r="C36" s="35" t="s">
        <v>1442</v>
      </c>
      <c r="D36" s="35" t="s">
        <v>1443</v>
      </c>
      <c r="E36" s="36"/>
    </row>
    <row r="37" spans="1:5" ht="43.5" x14ac:dyDescent="0.4">
      <c r="A37" s="34" t="s">
        <v>1444</v>
      </c>
      <c r="B37" s="34" t="s">
        <v>1445</v>
      </c>
      <c r="C37" s="34" t="s">
        <v>1446</v>
      </c>
      <c r="D37" s="34" t="s">
        <v>1447</v>
      </c>
      <c r="E37" s="36"/>
    </row>
    <row r="38" spans="1:5" ht="29" x14ac:dyDescent="0.4">
      <c r="A38" s="35" t="s">
        <v>1448</v>
      </c>
      <c r="B38" s="35" t="s">
        <v>1449</v>
      </c>
      <c r="C38" s="35" t="s">
        <v>1450</v>
      </c>
      <c r="D38" s="35" t="s">
        <v>1451</v>
      </c>
      <c r="E38" s="36"/>
    </row>
    <row r="39" spans="1:5" ht="29" x14ac:dyDescent="0.4">
      <c r="A39" s="34" t="s">
        <v>1452</v>
      </c>
      <c r="B39" s="34" t="s">
        <v>1453</v>
      </c>
      <c r="C39" s="34" t="s">
        <v>1454</v>
      </c>
      <c r="D39" s="34" t="s">
        <v>1455</v>
      </c>
      <c r="E39" s="36"/>
    </row>
    <row r="40" spans="1:5" x14ac:dyDescent="0.4">
      <c r="A40" s="35" t="s">
        <v>1456</v>
      </c>
      <c r="B40" s="35" t="s">
        <v>1457</v>
      </c>
      <c r="C40" s="35" t="s">
        <v>1458</v>
      </c>
      <c r="D40" s="35" t="s">
        <v>1459</v>
      </c>
      <c r="E40" s="36"/>
    </row>
    <row r="41" spans="1:5" x14ac:dyDescent="0.4">
      <c r="A41" s="34" t="s">
        <v>1460</v>
      </c>
      <c r="B41" s="34" t="s">
        <v>1461</v>
      </c>
      <c r="C41" s="34" t="s">
        <v>1462</v>
      </c>
      <c r="D41" s="34" t="s">
        <v>1463</v>
      </c>
      <c r="E41" s="36"/>
    </row>
    <row r="42" spans="1:5" ht="29" x14ac:dyDescent="0.4">
      <c r="A42" s="35" t="s">
        <v>1464</v>
      </c>
      <c r="B42" s="35" t="s">
        <v>1465</v>
      </c>
      <c r="C42" s="35" t="s">
        <v>1466</v>
      </c>
      <c r="D42" s="35" t="s">
        <v>1467</v>
      </c>
      <c r="E42" s="36"/>
    </row>
    <row r="43" spans="1:5" x14ac:dyDescent="0.4">
      <c r="A43" s="34" t="s">
        <v>1468</v>
      </c>
      <c r="B43" s="34" t="s">
        <v>1469</v>
      </c>
      <c r="C43" s="34" t="s">
        <v>1469</v>
      </c>
      <c r="D43" s="34" t="s">
        <v>1469</v>
      </c>
      <c r="E43" s="36"/>
    </row>
    <row r="44" spans="1:5" ht="29" x14ac:dyDescent="0.4">
      <c r="A44" s="35" t="s">
        <v>1470</v>
      </c>
      <c r="B44" s="35" t="s">
        <v>1471</v>
      </c>
      <c r="C44" s="35" t="s">
        <v>1471</v>
      </c>
      <c r="D44" s="35" t="s">
        <v>1472</v>
      </c>
      <c r="E44" s="36"/>
    </row>
    <row r="45" spans="1:5" x14ac:dyDescent="0.4">
      <c r="A45" s="34" t="s">
        <v>1473</v>
      </c>
      <c r="B45" s="34" t="s">
        <v>1474</v>
      </c>
      <c r="C45" s="34" t="s">
        <v>1475</v>
      </c>
      <c r="D45" s="34" t="s">
        <v>1476</v>
      </c>
      <c r="E45" s="36"/>
    </row>
    <row r="46" spans="1:5" ht="29" x14ac:dyDescent="0.4">
      <c r="A46" s="35" t="s">
        <v>1477</v>
      </c>
      <c r="B46" s="35" t="s">
        <v>1478</v>
      </c>
      <c r="C46" s="35" t="s">
        <v>1479</v>
      </c>
      <c r="D46" s="35" t="s">
        <v>1480</v>
      </c>
      <c r="E46" s="36"/>
    </row>
    <row r="47" spans="1:5" x14ac:dyDescent="0.4">
      <c r="A47" s="34" t="s">
        <v>1481</v>
      </c>
      <c r="B47" s="34" t="s">
        <v>1482</v>
      </c>
      <c r="C47" s="34" t="s">
        <v>1483</v>
      </c>
      <c r="D47" s="34" t="s">
        <v>1484</v>
      </c>
      <c r="E47" s="36"/>
    </row>
    <row r="48" spans="1:5" ht="29" x14ac:dyDescent="0.4">
      <c r="A48" s="35" t="s">
        <v>1485</v>
      </c>
      <c r="B48" s="35" t="s">
        <v>1486</v>
      </c>
      <c r="C48" s="35" t="s">
        <v>1487</v>
      </c>
      <c r="D48" s="35" t="s">
        <v>1488</v>
      </c>
      <c r="E48" s="36"/>
    </row>
    <row r="49" spans="1:5" ht="29" x14ac:dyDescent="0.4">
      <c r="A49" s="34" t="s">
        <v>1489</v>
      </c>
      <c r="B49" s="34" t="s">
        <v>1490</v>
      </c>
      <c r="C49" s="34" t="s">
        <v>1491</v>
      </c>
      <c r="D49" s="34" t="s">
        <v>1492</v>
      </c>
      <c r="E49" s="36"/>
    </row>
    <row r="50" spans="1:5" x14ac:dyDescent="0.4">
      <c r="A50" s="35" t="s">
        <v>1493</v>
      </c>
      <c r="B50" s="35" t="s">
        <v>1494</v>
      </c>
      <c r="C50" s="35" t="s">
        <v>1495</v>
      </c>
      <c r="D50" s="35" t="s">
        <v>1496</v>
      </c>
      <c r="E50" s="36"/>
    </row>
    <row r="51" spans="1:5" ht="29" x14ac:dyDescent="0.4">
      <c r="A51" s="34" t="s">
        <v>1497</v>
      </c>
      <c r="B51" s="34" t="s">
        <v>1498</v>
      </c>
      <c r="C51" s="34" t="s">
        <v>1499</v>
      </c>
      <c r="D51" s="34" t="s">
        <v>1500</v>
      </c>
      <c r="E51" s="36"/>
    </row>
    <row r="52" spans="1:5" x14ac:dyDescent="0.4">
      <c r="A52" s="35" t="s">
        <v>1501</v>
      </c>
      <c r="B52" s="35" t="s">
        <v>1502</v>
      </c>
      <c r="C52" s="35" t="s">
        <v>1502</v>
      </c>
      <c r="D52" s="35" t="s">
        <v>1503</v>
      </c>
      <c r="E52" s="36"/>
    </row>
    <row r="53" spans="1:5" ht="116" x14ac:dyDescent="0.4">
      <c r="A53" s="34" t="s">
        <v>1504</v>
      </c>
      <c r="B53" s="34" t="s">
        <v>1505</v>
      </c>
      <c r="C53" s="34" t="s">
        <v>1506</v>
      </c>
      <c r="D53" s="34" t="s">
        <v>1507</v>
      </c>
      <c r="E53" s="36" t="s">
        <v>1508</v>
      </c>
    </row>
    <row r="54" spans="1:5" x14ac:dyDescent="0.4">
      <c r="A54" s="35" t="s">
        <v>1509</v>
      </c>
      <c r="B54" s="35" t="s">
        <v>1510</v>
      </c>
      <c r="C54" s="35" t="s">
        <v>1511</v>
      </c>
      <c r="D54" s="35" t="s">
        <v>1512</v>
      </c>
      <c r="E54" s="36"/>
    </row>
    <row r="55" spans="1:5" ht="29" x14ac:dyDescent="0.4">
      <c r="A55" s="34" t="s">
        <v>1513</v>
      </c>
      <c r="B55" s="34" t="s">
        <v>1514</v>
      </c>
      <c r="C55" s="34" t="s">
        <v>1515</v>
      </c>
      <c r="D55" s="34" t="s">
        <v>1516</v>
      </c>
      <c r="E55" s="36"/>
    </row>
    <row r="56" spans="1:5" ht="29" x14ac:dyDescent="0.4">
      <c r="A56" s="35" t="s">
        <v>1517</v>
      </c>
      <c r="B56" s="35" t="s">
        <v>1518</v>
      </c>
      <c r="C56" s="35" t="s">
        <v>1519</v>
      </c>
      <c r="D56" s="35" t="s">
        <v>1520</v>
      </c>
      <c r="E56" s="36"/>
    </row>
    <row r="57" spans="1:5" ht="43.5" x14ac:dyDescent="0.4">
      <c r="A57" s="34" t="s">
        <v>1521</v>
      </c>
      <c r="B57" s="34" t="s">
        <v>1522</v>
      </c>
      <c r="C57" s="34" t="s">
        <v>1523</v>
      </c>
      <c r="D57" s="34" t="s">
        <v>1524</v>
      </c>
      <c r="E57" s="36"/>
    </row>
    <row r="58" spans="1:5" x14ac:dyDescent="0.4">
      <c r="A58" s="35" t="s">
        <v>1525</v>
      </c>
      <c r="B58" s="35" t="s">
        <v>1526</v>
      </c>
      <c r="C58" s="35" t="s">
        <v>1527</v>
      </c>
      <c r="D58" s="35" t="s">
        <v>1528</v>
      </c>
      <c r="E58" s="36"/>
    </row>
    <row r="59" spans="1:5" ht="29" x14ac:dyDescent="0.4">
      <c r="A59" s="34" t="s">
        <v>1529</v>
      </c>
      <c r="B59" s="34" t="s">
        <v>1530</v>
      </c>
      <c r="C59" s="34" t="s">
        <v>1531</v>
      </c>
      <c r="D59" s="34" t="s">
        <v>1532</v>
      </c>
      <c r="E59" s="36"/>
    </row>
    <row r="60" spans="1:5" x14ac:dyDescent="0.4">
      <c r="A60" s="35" t="s">
        <v>1533</v>
      </c>
      <c r="B60" s="35" t="s">
        <v>1534</v>
      </c>
      <c r="C60" s="35" t="s">
        <v>1535</v>
      </c>
      <c r="D60" s="35" t="s">
        <v>1536</v>
      </c>
      <c r="E60" s="36"/>
    </row>
    <row r="61" spans="1:5" x14ac:dyDescent="0.4">
      <c r="A61" s="34" t="s">
        <v>1537</v>
      </c>
      <c r="B61" s="34" t="s">
        <v>1538</v>
      </c>
      <c r="C61" s="34" t="s">
        <v>1539</v>
      </c>
      <c r="D61" s="34" t="s">
        <v>1540</v>
      </c>
      <c r="E61" s="36"/>
    </row>
    <row r="62" spans="1:5" x14ac:dyDescent="0.4">
      <c r="A62" s="35" t="s">
        <v>1541</v>
      </c>
      <c r="B62" s="35" t="s">
        <v>1542</v>
      </c>
      <c r="C62" s="35" t="s">
        <v>1543</v>
      </c>
      <c r="D62" s="35" t="s">
        <v>1544</v>
      </c>
      <c r="E62" s="36"/>
    </row>
    <row r="63" spans="1:5" x14ac:dyDescent="0.4">
      <c r="A63" s="34" t="s">
        <v>1545</v>
      </c>
      <c r="B63" s="34" t="s">
        <v>1546</v>
      </c>
      <c r="C63" s="34" t="s">
        <v>1547</v>
      </c>
      <c r="D63" s="34" t="s">
        <v>1548</v>
      </c>
      <c r="E63" s="36"/>
    </row>
    <row r="64" spans="1:5" x14ac:dyDescent="0.4">
      <c r="A64" s="35" t="s">
        <v>1549</v>
      </c>
      <c r="B64" s="35" t="s">
        <v>1550</v>
      </c>
      <c r="C64" s="35" t="s">
        <v>1551</v>
      </c>
      <c r="D64" s="35" t="s">
        <v>1552</v>
      </c>
      <c r="E64" s="36"/>
    </row>
    <row r="65" spans="1:5" ht="43.5" x14ac:dyDescent="0.4">
      <c r="A65" s="34" t="s">
        <v>1553</v>
      </c>
      <c r="B65" s="34" t="s">
        <v>1554</v>
      </c>
      <c r="C65" s="34" t="s">
        <v>1555</v>
      </c>
      <c r="D65" s="34" t="s">
        <v>1556</v>
      </c>
      <c r="E65" s="36"/>
    </row>
    <row r="66" spans="1:5" ht="29" x14ac:dyDescent="0.4">
      <c r="A66" s="35" t="s">
        <v>1557</v>
      </c>
      <c r="B66" s="35" t="s">
        <v>1558</v>
      </c>
      <c r="C66" s="35" t="s">
        <v>1559</v>
      </c>
      <c r="D66" s="35" t="s">
        <v>1560</v>
      </c>
      <c r="E66" s="36"/>
    </row>
    <row r="67" spans="1:5" x14ac:dyDescent="0.4">
      <c r="A67" s="34" t="s">
        <v>1561</v>
      </c>
      <c r="B67" s="34" t="s">
        <v>1562</v>
      </c>
      <c r="C67" s="34" t="s">
        <v>1563</v>
      </c>
      <c r="D67" s="34" t="s">
        <v>1564</v>
      </c>
      <c r="E67" s="36"/>
    </row>
    <row r="68" spans="1:5" x14ac:dyDescent="0.4">
      <c r="A68" s="35" t="s">
        <v>1565</v>
      </c>
      <c r="B68" s="35" t="s">
        <v>1565</v>
      </c>
      <c r="C68" s="35" t="s">
        <v>1565</v>
      </c>
      <c r="D68" s="35" t="s">
        <v>1566</v>
      </c>
      <c r="E68" s="36"/>
    </row>
    <row r="69" spans="1:5" x14ac:dyDescent="0.4">
      <c r="A69" s="34" t="s">
        <v>1567</v>
      </c>
      <c r="B69" s="34" t="s">
        <v>1568</v>
      </c>
      <c r="C69" s="34" t="s">
        <v>1568</v>
      </c>
      <c r="D69" s="34" t="s">
        <v>1569</v>
      </c>
      <c r="E69" s="36"/>
    </row>
    <row r="70" spans="1:5" ht="43.5" x14ac:dyDescent="0.4">
      <c r="A70" s="35" t="s">
        <v>1570</v>
      </c>
      <c r="B70" s="35" t="s">
        <v>1571</v>
      </c>
      <c r="C70" s="35" t="s">
        <v>1572</v>
      </c>
      <c r="D70" s="35" t="s">
        <v>1573</v>
      </c>
      <c r="E70" s="36"/>
    </row>
    <row r="71" spans="1:5" ht="29" x14ac:dyDescent="0.4">
      <c r="A71" s="34" t="s">
        <v>1574</v>
      </c>
      <c r="B71" s="34" t="s">
        <v>1575</v>
      </c>
      <c r="C71" s="34" t="s">
        <v>1576</v>
      </c>
      <c r="D71" s="34" t="s">
        <v>1577</v>
      </c>
      <c r="E71" s="36"/>
    </row>
    <row r="72" spans="1:5" x14ac:dyDescent="0.4">
      <c r="A72" s="40" t="s">
        <v>81</v>
      </c>
      <c r="B72" s="35" t="s">
        <v>2315</v>
      </c>
      <c r="C72" s="35" t="str">
        <f>_xlfn.TRANSLATE(dish_trans[[#This Row],[英文翻譯 (English)]],"en","fil")</f>
        <v>mga flauta</v>
      </c>
      <c r="D72" s="35" t="str">
        <f>_xlfn.TRANSLATE(dish_trans[[#This Row],[英文翻譯 (English)]],"en","id")</f>
        <v>fluuta-fluta-flauta</v>
      </c>
      <c r="E72" s="36"/>
    </row>
    <row r="73" spans="1:5" x14ac:dyDescent="0.4">
      <c r="A73" s="34" t="s">
        <v>1578</v>
      </c>
      <c r="B73" s="34" t="s">
        <v>1579</v>
      </c>
      <c r="C73" s="34" t="s">
        <v>1580</v>
      </c>
      <c r="D73" s="34" t="s">
        <v>1581</v>
      </c>
      <c r="E73" s="36"/>
    </row>
    <row r="74" spans="1:5" ht="29" x14ac:dyDescent="0.4">
      <c r="A74" s="35" t="s">
        <v>1582</v>
      </c>
      <c r="B74" s="35" t="s">
        <v>1583</v>
      </c>
      <c r="C74" s="35" t="s">
        <v>1584</v>
      </c>
      <c r="D74" s="35" t="s">
        <v>1585</v>
      </c>
      <c r="E74" s="36"/>
    </row>
    <row r="75" spans="1:5" ht="130.5" x14ac:dyDescent="0.4">
      <c r="A75" s="34" t="s">
        <v>1586</v>
      </c>
      <c r="B75" s="34" t="s">
        <v>1587</v>
      </c>
      <c r="C75" s="34" t="s">
        <v>1588</v>
      </c>
      <c r="D75" s="34" t="s">
        <v>1589</v>
      </c>
      <c r="E75" s="36" t="s">
        <v>1590</v>
      </c>
    </row>
    <row r="76" spans="1:5" x14ac:dyDescent="0.4">
      <c r="A76" s="35" t="s">
        <v>1591</v>
      </c>
      <c r="B76" s="35" t="s">
        <v>1592</v>
      </c>
      <c r="C76" s="35" t="s">
        <v>1593</v>
      </c>
      <c r="D76" s="35" t="s">
        <v>1594</v>
      </c>
      <c r="E76" s="36"/>
    </row>
    <row r="77" spans="1:5" ht="43.5" x14ac:dyDescent="0.4">
      <c r="A77" s="34" t="s">
        <v>1595</v>
      </c>
      <c r="B77" s="34" t="s">
        <v>1596</v>
      </c>
      <c r="C77" s="34" t="s">
        <v>1597</v>
      </c>
      <c r="D77" s="34" t="s">
        <v>1598</v>
      </c>
      <c r="E77" s="36"/>
    </row>
    <row r="78" spans="1:5" ht="43.5" x14ac:dyDescent="0.4">
      <c r="A78" s="35" t="s">
        <v>1599</v>
      </c>
      <c r="B78" s="35" t="s">
        <v>1600</v>
      </c>
      <c r="C78" s="35" t="s">
        <v>1601</v>
      </c>
      <c r="D78" s="35" t="s">
        <v>1602</v>
      </c>
      <c r="E78" s="36"/>
    </row>
    <row r="79" spans="1:5" x14ac:dyDescent="0.4">
      <c r="A79" s="34" t="s">
        <v>1318</v>
      </c>
      <c r="B79" s="34" t="s">
        <v>1603</v>
      </c>
      <c r="C79" s="34" t="s">
        <v>1604</v>
      </c>
      <c r="D79" s="34" t="s">
        <v>1605</v>
      </c>
      <c r="E79" s="36"/>
    </row>
    <row r="80" spans="1:5" ht="29" x14ac:dyDescent="0.4">
      <c r="A80" s="35" t="s">
        <v>1606</v>
      </c>
      <c r="B80" s="35" t="s">
        <v>1607</v>
      </c>
      <c r="C80" s="35" t="s">
        <v>1608</v>
      </c>
      <c r="D80" s="35" t="s">
        <v>1609</v>
      </c>
      <c r="E80" s="36"/>
    </row>
    <row r="81" spans="1:5" x14ac:dyDescent="0.4">
      <c r="A81" s="34" t="s">
        <v>1610</v>
      </c>
      <c r="B81" s="34" t="s">
        <v>1611</v>
      </c>
      <c r="C81" s="34" t="s">
        <v>1612</v>
      </c>
      <c r="D81" s="34" t="s">
        <v>1613</v>
      </c>
      <c r="E81" s="36"/>
    </row>
    <row r="82" spans="1:5" ht="43.5" x14ac:dyDescent="0.4">
      <c r="A82" s="35" t="s">
        <v>1614</v>
      </c>
      <c r="B82" s="35" t="s">
        <v>1615</v>
      </c>
      <c r="C82" s="35" t="s">
        <v>1616</v>
      </c>
      <c r="D82" s="35" t="s">
        <v>1617</v>
      </c>
      <c r="E82" s="36"/>
    </row>
    <row r="83" spans="1:5" x14ac:dyDescent="0.4">
      <c r="A83" s="34" t="s">
        <v>1618</v>
      </c>
      <c r="B83" s="34" t="s">
        <v>1619</v>
      </c>
      <c r="C83" s="34" t="s">
        <v>1620</v>
      </c>
      <c r="D83" s="34" t="s">
        <v>1621</v>
      </c>
      <c r="E83" s="36"/>
    </row>
    <row r="84" spans="1:5" x14ac:dyDescent="0.4">
      <c r="A84" s="35" t="s">
        <v>1622</v>
      </c>
      <c r="B84" s="35" t="s">
        <v>1623</v>
      </c>
      <c r="C84" s="35" t="s">
        <v>1624</v>
      </c>
      <c r="D84" s="35" t="s">
        <v>1625</v>
      </c>
      <c r="E84" s="36"/>
    </row>
    <row r="85" spans="1:5" x14ac:dyDescent="0.4">
      <c r="A85" s="34" t="s">
        <v>1626</v>
      </c>
      <c r="B85" s="34" t="s">
        <v>1627</v>
      </c>
      <c r="C85" s="34" t="s">
        <v>1628</v>
      </c>
      <c r="D85" s="34" t="s">
        <v>1629</v>
      </c>
      <c r="E85" s="36"/>
    </row>
    <row r="86" spans="1:5" x14ac:dyDescent="0.4">
      <c r="A86" s="35" t="s">
        <v>1630</v>
      </c>
      <c r="B86" s="35" t="s">
        <v>1631</v>
      </c>
      <c r="C86" s="35" t="s">
        <v>1632</v>
      </c>
      <c r="D86" s="35" t="s">
        <v>1633</v>
      </c>
      <c r="E86" s="36"/>
    </row>
    <row r="87" spans="1:5" ht="29" x14ac:dyDescent="0.4">
      <c r="A87" s="34" t="s">
        <v>1634</v>
      </c>
      <c r="B87" s="34" t="s">
        <v>1635</v>
      </c>
      <c r="C87" s="34" t="s">
        <v>1636</v>
      </c>
      <c r="D87" s="34" t="s">
        <v>1637</v>
      </c>
      <c r="E87" s="36"/>
    </row>
    <row r="88" spans="1:5" x14ac:dyDescent="0.4">
      <c r="A88" s="35" t="s">
        <v>1638</v>
      </c>
      <c r="B88" s="35" t="s">
        <v>1639</v>
      </c>
      <c r="C88" s="35" t="s">
        <v>1640</v>
      </c>
      <c r="D88" s="35" t="s">
        <v>1641</v>
      </c>
      <c r="E88" s="36"/>
    </row>
    <row r="89" spans="1:5" ht="29" x14ac:dyDescent="0.4">
      <c r="A89" s="34" t="s">
        <v>1642</v>
      </c>
      <c r="B89" s="34" t="s">
        <v>1643</v>
      </c>
      <c r="C89" s="34" t="s">
        <v>1644</v>
      </c>
      <c r="D89" s="34" t="s">
        <v>1645</v>
      </c>
      <c r="E89" s="36"/>
    </row>
    <row r="90" spans="1:5" ht="29" x14ac:dyDescent="0.4">
      <c r="A90" s="35" t="s">
        <v>1646</v>
      </c>
      <c r="B90" s="35" t="s">
        <v>1647</v>
      </c>
      <c r="C90" s="35" t="s">
        <v>1648</v>
      </c>
      <c r="D90" s="35" t="s">
        <v>1649</v>
      </c>
      <c r="E90" s="36"/>
    </row>
    <row r="91" spans="1:5" ht="29" x14ac:dyDescent="0.4">
      <c r="A91" s="34" t="s">
        <v>1650</v>
      </c>
      <c r="B91" s="34" t="s">
        <v>1651</v>
      </c>
      <c r="C91" s="34" t="s">
        <v>1652</v>
      </c>
      <c r="D91" s="34" t="s">
        <v>1653</v>
      </c>
      <c r="E91" s="36"/>
    </row>
    <row r="92" spans="1:5" ht="29" x14ac:dyDescent="0.4">
      <c r="A92" s="35" t="s">
        <v>1654</v>
      </c>
      <c r="B92" s="35" t="s">
        <v>1655</v>
      </c>
      <c r="C92" s="35" t="s">
        <v>1656</v>
      </c>
      <c r="D92" s="35" t="s">
        <v>1657</v>
      </c>
      <c r="E92" s="36"/>
    </row>
    <row r="93" spans="1:5" ht="29" x14ac:dyDescent="0.4">
      <c r="A93" s="34" t="s">
        <v>1658</v>
      </c>
      <c r="B93" s="34" t="s">
        <v>1659</v>
      </c>
      <c r="C93" s="34" t="s">
        <v>1660</v>
      </c>
      <c r="D93" s="34" t="s">
        <v>1661</v>
      </c>
      <c r="E93" s="36"/>
    </row>
    <row r="94" spans="1:5" x14ac:dyDescent="0.4">
      <c r="A94" s="35" t="s">
        <v>1662</v>
      </c>
      <c r="B94" s="35" t="s">
        <v>1663</v>
      </c>
      <c r="C94" s="35" t="s">
        <v>1664</v>
      </c>
      <c r="D94" s="35" t="s">
        <v>1665</v>
      </c>
      <c r="E94" s="36"/>
    </row>
    <row r="95" spans="1:5" ht="29" x14ac:dyDescent="0.4">
      <c r="A95" s="34" t="s">
        <v>1666</v>
      </c>
      <c r="B95" s="34" t="s">
        <v>1667</v>
      </c>
      <c r="C95" s="34" t="s">
        <v>1668</v>
      </c>
      <c r="D95" s="34" t="s">
        <v>1669</v>
      </c>
      <c r="E95" s="36"/>
    </row>
    <row r="96" spans="1:5" ht="29" x14ac:dyDescent="0.4">
      <c r="A96" s="35" t="s">
        <v>1670</v>
      </c>
      <c r="B96" s="35" t="s">
        <v>1671</v>
      </c>
      <c r="C96" s="35" t="s">
        <v>1672</v>
      </c>
      <c r="D96" s="35" t="s">
        <v>1673</v>
      </c>
      <c r="E96" s="36"/>
    </row>
    <row r="97" spans="1:5" x14ac:dyDescent="0.4">
      <c r="A97" s="34" t="s">
        <v>1319</v>
      </c>
      <c r="B97" s="34" t="s">
        <v>1320</v>
      </c>
      <c r="C97" s="34" t="s">
        <v>1674</v>
      </c>
      <c r="D97" s="34" t="s">
        <v>1675</v>
      </c>
      <c r="E97" s="36"/>
    </row>
    <row r="98" spans="1:5" x14ac:dyDescent="0.4">
      <c r="A98" s="35" t="s">
        <v>1676</v>
      </c>
      <c r="B98" s="35" t="s">
        <v>1677</v>
      </c>
      <c r="C98" s="35" t="s">
        <v>1678</v>
      </c>
      <c r="D98" s="35" t="s">
        <v>1679</v>
      </c>
      <c r="E98" s="36"/>
    </row>
    <row r="99" spans="1:5" x14ac:dyDescent="0.4">
      <c r="A99" s="34" t="s">
        <v>1680</v>
      </c>
      <c r="B99" s="34" t="s">
        <v>1681</v>
      </c>
      <c r="C99" s="34" t="s">
        <v>1682</v>
      </c>
      <c r="D99" s="34" t="s">
        <v>1683</v>
      </c>
      <c r="E99" s="36"/>
    </row>
    <row r="100" spans="1:5" ht="29" x14ac:dyDescent="0.4">
      <c r="A100" s="35" t="s">
        <v>1684</v>
      </c>
      <c r="B100" s="35" t="s">
        <v>1685</v>
      </c>
      <c r="C100" s="35" t="s">
        <v>1686</v>
      </c>
      <c r="D100" s="35" t="s">
        <v>1687</v>
      </c>
      <c r="E100" s="36"/>
    </row>
    <row r="101" spans="1:5" ht="29" x14ac:dyDescent="0.4">
      <c r="A101" s="34" t="s">
        <v>1688</v>
      </c>
      <c r="B101" s="34" t="s">
        <v>1689</v>
      </c>
      <c r="C101" s="34" t="s">
        <v>1690</v>
      </c>
      <c r="D101" s="34" t="s">
        <v>1691</v>
      </c>
      <c r="E101" s="36"/>
    </row>
    <row r="102" spans="1:5" x14ac:dyDescent="0.4">
      <c r="A102" s="35" t="s">
        <v>1692</v>
      </c>
      <c r="B102" s="35" t="s">
        <v>1693</v>
      </c>
      <c r="C102" s="35" t="s">
        <v>1694</v>
      </c>
      <c r="D102" s="35" t="s">
        <v>1695</v>
      </c>
      <c r="E102" s="36"/>
    </row>
    <row r="103" spans="1:5" x14ac:dyDescent="0.4">
      <c r="A103" s="34" t="s">
        <v>1696</v>
      </c>
      <c r="B103" s="34" t="s">
        <v>1697</v>
      </c>
      <c r="C103" s="34" t="s">
        <v>1698</v>
      </c>
      <c r="D103" s="34" t="s">
        <v>1699</v>
      </c>
      <c r="E103" s="36"/>
    </row>
    <row r="104" spans="1:5" x14ac:dyDescent="0.4">
      <c r="A104" s="35" t="s">
        <v>1700</v>
      </c>
      <c r="B104" s="35" t="s">
        <v>1701</v>
      </c>
      <c r="C104" s="35" t="s">
        <v>1702</v>
      </c>
      <c r="D104" s="35" t="s">
        <v>1703</v>
      </c>
      <c r="E104" s="36"/>
    </row>
    <row r="105" spans="1:5" x14ac:dyDescent="0.4">
      <c r="A105" s="34" t="s">
        <v>1704</v>
      </c>
      <c r="B105" s="34" t="s">
        <v>1705</v>
      </c>
      <c r="C105" s="34" t="s">
        <v>1706</v>
      </c>
      <c r="D105" s="34" t="s">
        <v>1707</v>
      </c>
      <c r="E105" s="36"/>
    </row>
    <row r="106" spans="1:5" ht="29" x14ac:dyDescent="0.4">
      <c r="A106" s="35" t="s">
        <v>1708</v>
      </c>
      <c r="B106" s="35" t="s">
        <v>1709</v>
      </c>
      <c r="C106" s="35" t="s">
        <v>1710</v>
      </c>
      <c r="D106" s="35" t="s">
        <v>1711</v>
      </c>
      <c r="E106" s="36"/>
    </row>
    <row r="107" spans="1:5" x14ac:dyDescent="0.4">
      <c r="A107" s="34" t="s">
        <v>1712</v>
      </c>
      <c r="B107" s="34" t="s">
        <v>1713</v>
      </c>
      <c r="C107" s="34" t="s">
        <v>1714</v>
      </c>
      <c r="D107" s="34" t="s">
        <v>1715</v>
      </c>
      <c r="E107" s="36"/>
    </row>
    <row r="108" spans="1:5" x14ac:dyDescent="0.4">
      <c r="A108" s="35" t="s">
        <v>1716</v>
      </c>
      <c r="B108" s="35" t="s">
        <v>1717</v>
      </c>
      <c r="C108" s="35" t="s">
        <v>1718</v>
      </c>
      <c r="D108" s="35" t="s">
        <v>1719</v>
      </c>
      <c r="E108" s="36"/>
    </row>
    <row r="109" spans="1:5" x14ac:dyDescent="0.4">
      <c r="A109" s="34" t="s">
        <v>1720</v>
      </c>
      <c r="B109" s="34" t="s">
        <v>1721</v>
      </c>
      <c r="C109" s="34" t="s">
        <v>1722</v>
      </c>
      <c r="D109" s="34" t="s">
        <v>1723</v>
      </c>
      <c r="E109" s="36"/>
    </row>
    <row r="110" spans="1:5" x14ac:dyDescent="0.4">
      <c r="A110" s="35" t="s">
        <v>1724</v>
      </c>
      <c r="B110" s="35" t="s">
        <v>1725</v>
      </c>
      <c r="C110" s="35" t="s">
        <v>1726</v>
      </c>
      <c r="D110" s="35" t="s">
        <v>1727</v>
      </c>
      <c r="E110" s="36"/>
    </row>
    <row r="111" spans="1:5" x14ac:dyDescent="0.4">
      <c r="A111" s="34" t="s">
        <v>1728</v>
      </c>
      <c r="B111" s="34" t="s">
        <v>1729</v>
      </c>
      <c r="C111" s="34" t="s">
        <v>1730</v>
      </c>
      <c r="D111" s="34" t="s">
        <v>1731</v>
      </c>
      <c r="E111" s="36"/>
    </row>
    <row r="112" spans="1:5" x14ac:dyDescent="0.4">
      <c r="A112" s="35" t="s">
        <v>1732</v>
      </c>
      <c r="B112" s="35" t="s">
        <v>1733</v>
      </c>
      <c r="C112" s="35" t="s">
        <v>1734</v>
      </c>
      <c r="D112" s="35" t="s">
        <v>1735</v>
      </c>
      <c r="E112" s="36"/>
    </row>
    <row r="113" spans="1:5" ht="29" x14ac:dyDescent="0.4">
      <c r="A113" s="34" t="s">
        <v>1736</v>
      </c>
      <c r="B113" s="34" t="s">
        <v>1737</v>
      </c>
      <c r="C113" s="34" t="s">
        <v>1738</v>
      </c>
      <c r="D113" s="34" t="s">
        <v>1739</v>
      </c>
      <c r="E113" s="36"/>
    </row>
    <row r="114" spans="1:5" x14ac:dyDescent="0.4">
      <c r="A114" s="35" t="s">
        <v>1740</v>
      </c>
      <c r="B114" s="35" t="s">
        <v>1741</v>
      </c>
      <c r="C114" s="35" t="s">
        <v>1742</v>
      </c>
      <c r="D114" s="35" t="s">
        <v>1743</v>
      </c>
      <c r="E114" s="36"/>
    </row>
    <row r="115" spans="1:5" ht="29" x14ac:dyDescent="0.4">
      <c r="A115" s="34" t="s">
        <v>1744</v>
      </c>
      <c r="B115" s="34" t="s">
        <v>1745</v>
      </c>
      <c r="C115" s="34" t="s">
        <v>1746</v>
      </c>
      <c r="D115" s="34" t="s">
        <v>1747</v>
      </c>
      <c r="E115" s="36"/>
    </row>
    <row r="116" spans="1:5" x14ac:dyDescent="0.4">
      <c r="A116" s="35" t="s">
        <v>1314</v>
      </c>
      <c r="B116" s="35" t="s">
        <v>1315</v>
      </c>
      <c r="C116" s="35" t="s">
        <v>1748</v>
      </c>
      <c r="D116" s="35" t="s">
        <v>1749</v>
      </c>
      <c r="E116" s="36"/>
    </row>
    <row r="117" spans="1:5" ht="29" x14ac:dyDescent="0.4">
      <c r="A117" s="34" t="s">
        <v>1750</v>
      </c>
      <c r="B117" s="34" t="s">
        <v>1751</v>
      </c>
      <c r="C117" s="34" t="s">
        <v>1752</v>
      </c>
      <c r="D117" s="34" t="s">
        <v>1753</v>
      </c>
      <c r="E117" s="36"/>
    </row>
    <row r="118" spans="1:5" ht="29" x14ac:dyDescent="0.4">
      <c r="A118" s="35" t="s">
        <v>1754</v>
      </c>
      <c r="B118" s="35" t="s">
        <v>1755</v>
      </c>
      <c r="C118" s="35" t="s">
        <v>1756</v>
      </c>
      <c r="D118" s="35" t="s">
        <v>1757</v>
      </c>
      <c r="E118" s="36"/>
    </row>
    <row r="119" spans="1:5" ht="43.5" x14ac:dyDescent="0.4">
      <c r="A119" s="41" t="s">
        <v>2313</v>
      </c>
      <c r="B119" s="34" t="s">
        <v>1758</v>
      </c>
      <c r="C119" s="34" t="s">
        <v>1759</v>
      </c>
      <c r="D119" s="34" t="s">
        <v>1760</v>
      </c>
      <c r="E119" s="36"/>
    </row>
    <row r="120" spans="1:5" ht="29" x14ac:dyDescent="0.4">
      <c r="A120" s="35" t="s">
        <v>1761</v>
      </c>
      <c r="B120" s="35" t="s">
        <v>1762</v>
      </c>
      <c r="C120" s="35" t="s">
        <v>1763</v>
      </c>
      <c r="D120" s="35" t="s">
        <v>1764</v>
      </c>
      <c r="E120" s="36"/>
    </row>
    <row r="121" spans="1:5" ht="43.5" x14ac:dyDescent="0.4">
      <c r="A121" s="34" t="s">
        <v>1765</v>
      </c>
      <c r="B121" s="34" t="s">
        <v>1766</v>
      </c>
      <c r="C121" s="34" t="s">
        <v>1767</v>
      </c>
      <c r="D121" s="34" t="s">
        <v>1768</v>
      </c>
      <c r="E121" s="36"/>
    </row>
    <row r="122" spans="1:5" x14ac:dyDescent="0.4">
      <c r="A122" s="35" t="s">
        <v>1769</v>
      </c>
      <c r="B122" s="35" t="s">
        <v>1770</v>
      </c>
      <c r="C122" s="35" t="s">
        <v>1771</v>
      </c>
      <c r="D122" s="35" t="s">
        <v>1772</v>
      </c>
      <c r="E122" s="36"/>
    </row>
    <row r="123" spans="1:5" ht="43.5" x14ac:dyDescent="0.4">
      <c r="A123" s="34" t="s">
        <v>1773</v>
      </c>
      <c r="B123" s="34" t="s">
        <v>1774</v>
      </c>
      <c r="C123" s="34" t="s">
        <v>1775</v>
      </c>
      <c r="D123" s="34" t="s">
        <v>1776</v>
      </c>
      <c r="E123" s="36"/>
    </row>
    <row r="124" spans="1:5" ht="43.5" x14ac:dyDescent="0.4">
      <c r="A124" s="40" t="s">
        <v>2314</v>
      </c>
      <c r="B124" s="35" t="s">
        <v>1777</v>
      </c>
      <c r="C124" s="35" t="s">
        <v>1778</v>
      </c>
      <c r="D124" s="35" t="s">
        <v>1779</v>
      </c>
      <c r="E124" s="36"/>
    </row>
    <row r="125" spans="1:5" x14ac:dyDescent="0.4">
      <c r="A125" s="34" t="s">
        <v>1780</v>
      </c>
      <c r="B125" s="34" t="s">
        <v>1781</v>
      </c>
      <c r="C125" s="34" t="s">
        <v>1782</v>
      </c>
      <c r="D125" s="34" t="s">
        <v>1783</v>
      </c>
      <c r="E125" s="36"/>
    </row>
    <row r="126" spans="1:5" ht="29" x14ac:dyDescent="0.4">
      <c r="A126" s="35" t="s">
        <v>1784</v>
      </c>
      <c r="B126" s="35" t="s">
        <v>1785</v>
      </c>
      <c r="C126" s="35" t="s">
        <v>1786</v>
      </c>
      <c r="D126" s="35" t="s">
        <v>1787</v>
      </c>
      <c r="E126" s="36"/>
    </row>
    <row r="127" spans="1:5" ht="29" x14ac:dyDescent="0.4">
      <c r="A127" s="34" t="s">
        <v>1788</v>
      </c>
      <c r="B127" s="34" t="s">
        <v>1789</v>
      </c>
      <c r="C127" s="34" t="s">
        <v>1790</v>
      </c>
      <c r="D127" s="34" t="s">
        <v>1791</v>
      </c>
      <c r="E127" s="36"/>
    </row>
    <row r="128" spans="1:5" ht="29" x14ac:dyDescent="0.4">
      <c r="A128" s="35" t="s">
        <v>1792</v>
      </c>
      <c r="B128" s="35" t="s">
        <v>1793</v>
      </c>
      <c r="C128" s="35" t="s">
        <v>1794</v>
      </c>
      <c r="D128" s="35" t="s">
        <v>1795</v>
      </c>
      <c r="E128" s="36"/>
    </row>
    <row r="129" spans="1:5" ht="29" x14ac:dyDescent="0.4">
      <c r="A129" s="34" t="s">
        <v>1796</v>
      </c>
      <c r="B129" s="34" t="s">
        <v>1797</v>
      </c>
      <c r="C129" s="34" t="s">
        <v>1798</v>
      </c>
      <c r="D129" s="34" t="s">
        <v>1799</v>
      </c>
      <c r="E129" s="36"/>
    </row>
    <row r="130" spans="1:5" ht="29" x14ac:dyDescent="0.4">
      <c r="A130" s="35" t="s">
        <v>1800</v>
      </c>
      <c r="B130" s="35" t="s">
        <v>1801</v>
      </c>
      <c r="C130" s="35" t="s">
        <v>1802</v>
      </c>
      <c r="D130" s="35" t="s">
        <v>1803</v>
      </c>
      <c r="E130" s="36"/>
    </row>
    <row r="131" spans="1:5" ht="29" x14ac:dyDescent="0.4">
      <c r="A131" s="34" t="s">
        <v>1804</v>
      </c>
      <c r="B131" s="34" t="s">
        <v>1316</v>
      </c>
      <c r="C131" s="34" t="s">
        <v>1805</v>
      </c>
      <c r="D131" s="34" t="s">
        <v>1806</v>
      </c>
      <c r="E131" s="36"/>
    </row>
    <row r="132" spans="1:5" x14ac:dyDescent="0.4">
      <c r="A132" s="35" t="s">
        <v>1807</v>
      </c>
      <c r="B132" s="35" t="s">
        <v>1808</v>
      </c>
      <c r="C132" s="35" t="s">
        <v>1809</v>
      </c>
      <c r="D132" s="35" t="s">
        <v>1810</v>
      </c>
      <c r="E132" s="36"/>
    </row>
    <row r="133" spans="1:5" x14ac:dyDescent="0.4">
      <c r="A133" s="34" t="s">
        <v>279</v>
      </c>
      <c r="B133" s="34" t="s">
        <v>885</v>
      </c>
      <c r="C133" s="34" t="s">
        <v>1811</v>
      </c>
      <c r="D133" s="34" t="s">
        <v>887</v>
      </c>
      <c r="E133" s="36"/>
    </row>
    <row r="134" spans="1:5" ht="29" x14ac:dyDescent="0.4">
      <c r="A134" s="35" t="s">
        <v>1317</v>
      </c>
      <c r="B134" s="35" t="s">
        <v>1812</v>
      </c>
      <c r="C134" s="35" t="s">
        <v>1813</v>
      </c>
      <c r="D134" s="35" t="s">
        <v>1814</v>
      </c>
      <c r="E134" s="36"/>
    </row>
    <row r="135" spans="1:5" x14ac:dyDescent="0.4">
      <c r="A135" s="34" t="s">
        <v>1815</v>
      </c>
      <c r="B135" s="34" t="s">
        <v>1816</v>
      </c>
      <c r="C135" s="34" t="s">
        <v>1817</v>
      </c>
      <c r="D135" s="34" t="s">
        <v>1818</v>
      </c>
      <c r="E135" s="36"/>
    </row>
    <row r="136" spans="1:5" x14ac:dyDescent="0.4">
      <c r="A136" s="35" t="s">
        <v>1819</v>
      </c>
      <c r="B136" s="35" t="s">
        <v>1820</v>
      </c>
      <c r="C136" s="35" t="s">
        <v>1821</v>
      </c>
      <c r="D136" s="35" t="s">
        <v>1822</v>
      </c>
      <c r="E136" s="36"/>
    </row>
    <row r="137" spans="1:5" x14ac:dyDescent="0.4">
      <c r="A137" s="34" t="s">
        <v>1823</v>
      </c>
      <c r="B137" s="34" t="s">
        <v>1824</v>
      </c>
      <c r="C137" s="34" t="s">
        <v>1824</v>
      </c>
      <c r="D137" s="34" t="s">
        <v>1825</v>
      </c>
      <c r="E137" s="36"/>
    </row>
    <row r="138" spans="1:5" x14ac:dyDescent="0.4">
      <c r="A138" s="35" t="s">
        <v>1826</v>
      </c>
      <c r="B138" s="35" t="s">
        <v>1827</v>
      </c>
      <c r="C138" s="35" t="s">
        <v>1828</v>
      </c>
      <c r="D138" s="35" t="s">
        <v>1829</v>
      </c>
      <c r="E138" s="36"/>
    </row>
    <row r="139" spans="1:5" x14ac:dyDescent="0.4">
      <c r="A139" s="34" t="s">
        <v>1830</v>
      </c>
      <c r="B139" s="34" t="s">
        <v>879</v>
      </c>
      <c r="C139" s="34" t="s">
        <v>879</v>
      </c>
      <c r="D139" s="34" t="s">
        <v>1831</v>
      </c>
      <c r="E139" s="36"/>
    </row>
    <row r="140" spans="1:5" x14ac:dyDescent="0.4">
      <c r="A140" s="35" t="s">
        <v>1832</v>
      </c>
      <c r="B140" s="35" t="s">
        <v>1833</v>
      </c>
      <c r="C140" s="35" t="s">
        <v>1834</v>
      </c>
      <c r="D140" s="35" t="s">
        <v>1835</v>
      </c>
      <c r="E140" s="36"/>
    </row>
    <row r="141" spans="1:5" x14ac:dyDescent="0.4">
      <c r="A141" s="34" t="s">
        <v>1836</v>
      </c>
      <c r="B141" s="34" t="s">
        <v>1837</v>
      </c>
      <c r="C141" s="34" t="s">
        <v>1838</v>
      </c>
      <c r="D141" s="34" t="s">
        <v>1839</v>
      </c>
      <c r="E141" s="36"/>
    </row>
    <row r="142" spans="1:5" ht="29" x14ac:dyDescent="0.4">
      <c r="A142" s="35" t="s">
        <v>1840</v>
      </c>
      <c r="B142" s="35" t="s">
        <v>1841</v>
      </c>
      <c r="C142" s="35" t="s">
        <v>1842</v>
      </c>
      <c r="D142" s="35" t="s">
        <v>1843</v>
      </c>
      <c r="E142" s="36"/>
    </row>
    <row r="143" spans="1:5" ht="29" x14ac:dyDescent="0.4">
      <c r="A143" s="34" t="s">
        <v>1844</v>
      </c>
      <c r="B143" s="34" t="s">
        <v>1845</v>
      </c>
      <c r="C143" s="34" t="s">
        <v>1846</v>
      </c>
      <c r="D143" s="34" t="s">
        <v>1847</v>
      </c>
      <c r="E143" s="36"/>
    </row>
    <row r="144" spans="1:5" x14ac:dyDescent="0.4">
      <c r="A144" s="35" t="s">
        <v>1848</v>
      </c>
      <c r="B144" s="35" t="s">
        <v>1849</v>
      </c>
      <c r="C144" s="35" t="s">
        <v>1850</v>
      </c>
      <c r="D144" s="35" t="s">
        <v>1851</v>
      </c>
      <c r="E144" s="36"/>
    </row>
    <row r="145" spans="1:5" x14ac:dyDescent="0.4">
      <c r="A145" s="34" t="s">
        <v>1852</v>
      </c>
      <c r="B145" s="34" t="s">
        <v>1852</v>
      </c>
      <c r="C145" s="34" t="s">
        <v>1852</v>
      </c>
      <c r="D145" s="34" t="s">
        <v>1853</v>
      </c>
      <c r="E145" s="36"/>
    </row>
    <row r="146" spans="1:5" ht="29" x14ac:dyDescent="0.4">
      <c r="A146" s="35" t="s">
        <v>1854</v>
      </c>
      <c r="B146" s="35" t="s">
        <v>1855</v>
      </c>
      <c r="C146" s="35" t="s">
        <v>1856</v>
      </c>
      <c r="D146" s="35" t="s">
        <v>1857</v>
      </c>
      <c r="E146" s="36"/>
    </row>
    <row r="147" spans="1:5" ht="29" x14ac:dyDescent="0.4">
      <c r="A147" s="34" t="s">
        <v>1858</v>
      </c>
      <c r="B147" s="34" t="s">
        <v>1859</v>
      </c>
      <c r="C147" s="34" t="s">
        <v>1860</v>
      </c>
      <c r="D147" s="34" t="s">
        <v>1861</v>
      </c>
      <c r="E147" s="36"/>
    </row>
    <row r="148" spans="1:5" x14ac:dyDescent="0.4">
      <c r="A148" s="35" t="s">
        <v>1862</v>
      </c>
      <c r="B148" s="35" t="s">
        <v>1863</v>
      </c>
      <c r="C148" s="35" t="s">
        <v>1864</v>
      </c>
      <c r="D148" s="35" t="s">
        <v>1865</v>
      </c>
      <c r="E148" s="36"/>
    </row>
    <row r="149" spans="1:5" ht="29" x14ac:dyDescent="0.4">
      <c r="A149" s="34" t="s">
        <v>1866</v>
      </c>
      <c r="B149" s="34" t="s">
        <v>1867</v>
      </c>
      <c r="C149" s="34" t="s">
        <v>1868</v>
      </c>
      <c r="D149" s="34" t="s">
        <v>1869</v>
      </c>
      <c r="E149" s="36"/>
    </row>
    <row r="150" spans="1:5" ht="29" x14ac:dyDescent="0.4">
      <c r="A150" s="35" t="s">
        <v>1870</v>
      </c>
      <c r="B150" s="35" t="s">
        <v>1871</v>
      </c>
      <c r="C150" s="35" t="s">
        <v>1872</v>
      </c>
      <c r="D150" s="35" t="s">
        <v>1873</v>
      </c>
      <c r="E150" s="36"/>
    </row>
    <row r="151" spans="1:5" ht="43.5" x14ac:dyDescent="0.4">
      <c r="A151" s="34" t="s">
        <v>1322</v>
      </c>
      <c r="B151" s="34" t="s">
        <v>1323</v>
      </c>
      <c r="C151" s="34" t="s">
        <v>1874</v>
      </c>
      <c r="D151" s="34" t="s">
        <v>1875</v>
      </c>
      <c r="E151" s="36"/>
    </row>
    <row r="152" spans="1:5" ht="58" x14ac:dyDescent="0.4">
      <c r="A152" s="35" t="s">
        <v>1876</v>
      </c>
      <c r="B152" s="35" t="s">
        <v>1877</v>
      </c>
      <c r="C152" s="35" t="s">
        <v>1878</v>
      </c>
      <c r="D152" s="35" t="s">
        <v>1879</v>
      </c>
      <c r="E152" s="36" t="s">
        <v>1880</v>
      </c>
    </row>
    <row r="153" spans="1:5" ht="29" x14ac:dyDescent="0.4">
      <c r="A153" s="34" t="s">
        <v>1881</v>
      </c>
      <c r="B153" s="34" t="s">
        <v>1882</v>
      </c>
      <c r="C153" s="34" t="s">
        <v>1883</v>
      </c>
      <c r="D153" s="34" t="s">
        <v>1884</v>
      </c>
      <c r="E153" s="36"/>
    </row>
    <row r="154" spans="1:5" ht="29" x14ac:dyDescent="0.4">
      <c r="A154" s="35" t="s">
        <v>1885</v>
      </c>
      <c r="B154" s="35" t="s">
        <v>1886</v>
      </c>
      <c r="C154" s="35" t="s">
        <v>1887</v>
      </c>
      <c r="D154" s="35" t="s">
        <v>1888</v>
      </c>
      <c r="E154" s="36"/>
    </row>
    <row r="155" spans="1:5" ht="43.5" x14ac:dyDescent="0.4">
      <c r="A155" s="34" t="s">
        <v>1889</v>
      </c>
      <c r="B155" s="34" t="s">
        <v>1890</v>
      </c>
      <c r="C155" s="34" t="s">
        <v>1891</v>
      </c>
      <c r="D155" s="34" t="s">
        <v>1892</v>
      </c>
      <c r="E155" s="36"/>
    </row>
    <row r="156" spans="1:5" ht="29" x14ac:dyDescent="0.4">
      <c r="A156" s="35" t="s">
        <v>1893</v>
      </c>
      <c r="B156" s="35" t="s">
        <v>1894</v>
      </c>
      <c r="C156" s="35" t="s">
        <v>1895</v>
      </c>
      <c r="D156" s="35" t="s">
        <v>1896</v>
      </c>
      <c r="E156" s="36"/>
    </row>
    <row r="157" spans="1:5" x14ac:dyDescent="0.4">
      <c r="A157" s="34" t="s">
        <v>1897</v>
      </c>
      <c r="B157" s="34" t="s">
        <v>1898</v>
      </c>
      <c r="C157" s="34" t="s">
        <v>1899</v>
      </c>
      <c r="D157" s="34" t="s">
        <v>1900</v>
      </c>
      <c r="E157" s="36"/>
    </row>
    <row r="158" spans="1:5" ht="29" x14ac:dyDescent="0.4">
      <c r="A158" s="35" t="s">
        <v>1901</v>
      </c>
      <c r="B158" s="35" t="s">
        <v>1902</v>
      </c>
      <c r="C158" s="35" t="s">
        <v>1903</v>
      </c>
      <c r="D158" s="35" t="s">
        <v>1904</v>
      </c>
      <c r="E158" s="36"/>
    </row>
    <row r="159" spans="1:5" ht="43.5" x14ac:dyDescent="0.4">
      <c r="A159" s="34" t="s">
        <v>1905</v>
      </c>
      <c r="B159" s="34" t="s">
        <v>1906</v>
      </c>
      <c r="C159" s="34" t="s">
        <v>1907</v>
      </c>
      <c r="D159" s="34" t="s">
        <v>1908</v>
      </c>
      <c r="E159" s="36"/>
    </row>
    <row r="160" spans="1:5" ht="43.5" x14ac:dyDescent="0.4">
      <c r="A160" s="35" t="s">
        <v>1909</v>
      </c>
      <c r="B160" s="35" t="s">
        <v>1910</v>
      </c>
      <c r="C160" s="35" t="s">
        <v>1911</v>
      </c>
      <c r="D160" s="35" t="s">
        <v>1912</v>
      </c>
      <c r="E160" s="36"/>
    </row>
    <row r="161" spans="1:5" ht="29" x14ac:dyDescent="0.4">
      <c r="A161" s="34" t="s">
        <v>1913</v>
      </c>
      <c r="B161" s="34" t="s">
        <v>1914</v>
      </c>
      <c r="C161" s="34" t="s">
        <v>1915</v>
      </c>
      <c r="D161" s="34" t="s">
        <v>1916</v>
      </c>
      <c r="E161" s="36"/>
    </row>
    <row r="162" spans="1:5" ht="29" x14ac:dyDescent="0.4">
      <c r="A162" s="35" t="s">
        <v>1917</v>
      </c>
      <c r="B162" s="35" t="s">
        <v>1918</v>
      </c>
      <c r="C162" s="35" t="s">
        <v>1919</v>
      </c>
      <c r="D162" s="35" t="s">
        <v>1920</v>
      </c>
      <c r="E162" s="36"/>
    </row>
    <row r="163" spans="1:5" ht="29" x14ac:dyDescent="0.4">
      <c r="A163" s="34" t="s">
        <v>1921</v>
      </c>
      <c r="B163" s="34" t="s">
        <v>1922</v>
      </c>
      <c r="C163" s="34" t="s">
        <v>1923</v>
      </c>
      <c r="D163" s="34" t="s">
        <v>1924</v>
      </c>
      <c r="E163" s="36"/>
    </row>
    <row r="164" spans="1:5" x14ac:dyDescent="0.4">
      <c r="A164" s="35" t="s">
        <v>1925</v>
      </c>
      <c r="B164" s="35" t="s">
        <v>1926</v>
      </c>
      <c r="C164" s="35" t="s">
        <v>1927</v>
      </c>
      <c r="D164" s="35" t="s">
        <v>1928</v>
      </c>
      <c r="E164" s="36"/>
    </row>
    <row r="165" spans="1:5" ht="29" x14ac:dyDescent="0.4">
      <c r="A165" s="34" t="s">
        <v>1929</v>
      </c>
      <c r="B165" s="34" t="s">
        <v>1930</v>
      </c>
      <c r="C165" s="34" t="s">
        <v>1931</v>
      </c>
      <c r="D165" s="34" t="s">
        <v>1932</v>
      </c>
      <c r="E165" s="36"/>
    </row>
    <row r="166" spans="1:5" ht="29" x14ac:dyDescent="0.4">
      <c r="A166" s="35" t="s">
        <v>1933</v>
      </c>
      <c r="B166" s="35" t="s">
        <v>1934</v>
      </c>
      <c r="C166" s="35" t="s">
        <v>1935</v>
      </c>
      <c r="D166" s="35" t="s">
        <v>1936</v>
      </c>
      <c r="E166" s="36"/>
    </row>
    <row r="167" spans="1:5" x14ac:dyDescent="0.4">
      <c r="A167" s="34" t="s">
        <v>1937</v>
      </c>
      <c r="B167" s="34" t="s">
        <v>1938</v>
      </c>
      <c r="C167" s="34" t="s">
        <v>1938</v>
      </c>
      <c r="D167" s="34" t="s">
        <v>1939</v>
      </c>
      <c r="E167" s="36"/>
    </row>
    <row r="168" spans="1:5" ht="29" x14ac:dyDescent="0.4">
      <c r="A168" s="35" t="s">
        <v>1940</v>
      </c>
      <c r="B168" s="35" t="s">
        <v>1941</v>
      </c>
      <c r="C168" s="35" t="s">
        <v>1942</v>
      </c>
      <c r="D168" s="35" t="s">
        <v>1943</v>
      </c>
      <c r="E168" s="36"/>
    </row>
    <row r="169" spans="1:5" x14ac:dyDescent="0.4">
      <c r="A169" s="34" t="s">
        <v>1944</v>
      </c>
      <c r="B169" s="34" t="s">
        <v>1945</v>
      </c>
      <c r="C169" s="34" t="s">
        <v>1945</v>
      </c>
      <c r="D169" s="34" t="s">
        <v>1945</v>
      </c>
      <c r="E169" s="36"/>
    </row>
    <row r="170" spans="1:5" ht="29" x14ac:dyDescent="0.4">
      <c r="A170" s="35" t="s">
        <v>1946</v>
      </c>
      <c r="B170" s="35" t="s">
        <v>1947</v>
      </c>
      <c r="C170" s="35" t="s">
        <v>1948</v>
      </c>
      <c r="D170" s="35" t="s">
        <v>1949</v>
      </c>
      <c r="E170" s="36"/>
    </row>
    <row r="171" spans="1:5" ht="29" x14ac:dyDescent="0.4">
      <c r="A171" s="34" t="s">
        <v>1950</v>
      </c>
      <c r="B171" s="34" t="s">
        <v>1951</v>
      </c>
      <c r="C171" s="34" t="s">
        <v>1952</v>
      </c>
      <c r="D171" s="34" t="s">
        <v>1953</v>
      </c>
      <c r="E171" s="36"/>
    </row>
    <row r="172" spans="1:5" ht="43.5" x14ac:dyDescent="0.4">
      <c r="A172" s="35" t="s">
        <v>1954</v>
      </c>
      <c r="B172" s="35" t="s">
        <v>1955</v>
      </c>
      <c r="C172" s="35" t="s">
        <v>1956</v>
      </c>
      <c r="D172" s="35" t="s">
        <v>1957</v>
      </c>
      <c r="E172" s="36"/>
    </row>
    <row r="173" spans="1:5" ht="29" x14ac:dyDescent="0.4">
      <c r="A173" s="34" t="s">
        <v>1958</v>
      </c>
      <c r="B173" s="34" t="s">
        <v>1959</v>
      </c>
      <c r="C173" s="34" t="s">
        <v>1960</v>
      </c>
      <c r="D173" s="34" t="s">
        <v>1961</v>
      </c>
      <c r="E173" s="36"/>
    </row>
    <row r="174" spans="1:5" ht="29" x14ac:dyDescent="0.4">
      <c r="A174" s="35" t="s">
        <v>1962</v>
      </c>
      <c r="B174" s="35" t="s">
        <v>1963</v>
      </c>
      <c r="C174" s="35" t="s">
        <v>1964</v>
      </c>
      <c r="D174" s="35" t="s">
        <v>1965</v>
      </c>
      <c r="E174" s="36"/>
    </row>
    <row r="175" spans="1:5" ht="43.5" x14ac:dyDescent="0.4">
      <c r="A175" s="34" t="s">
        <v>1966</v>
      </c>
      <c r="B175" s="34" t="s">
        <v>1967</v>
      </c>
      <c r="C175" s="34" t="s">
        <v>1968</v>
      </c>
      <c r="D175" s="34" t="s">
        <v>1969</v>
      </c>
      <c r="E175" s="36"/>
    </row>
    <row r="176" spans="1:5" ht="29" x14ac:dyDescent="0.4">
      <c r="A176" s="35" t="s">
        <v>1970</v>
      </c>
      <c r="B176" s="35" t="s">
        <v>1971</v>
      </c>
      <c r="C176" s="35" t="s">
        <v>1972</v>
      </c>
      <c r="D176" s="35" t="s">
        <v>1973</v>
      </c>
      <c r="E176" s="36"/>
    </row>
    <row r="177" spans="1:5" ht="29" x14ac:dyDescent="0.4">
      <c r="A177" s="34" t="s">
        <v>1974</v>
      </c>
      <c r="B177" s="34" t="s">
        <v>1975</v>
      </c>
      <c r="C177" s="34" t="s">
        <v>1976</v>
      </c>
      <c r="D177" s="34" t="s">
        <v>1977</v>
      </c>
      <c r="E177" s="36"/>
    </row>
    <row r="178" spans="1:5" x14ac:dyDescent="0.4">
      <c r="A178" s="35" t="s">
        <v>1978</v>
      </c>
      <c r="B178" s="35" t="s">
        <v>1979</v>
      </c>
      <c r="C178" s="35" t="s">
        <v>1979</v>
      </c>
      <c r="D178" s="35" t="s">
        <v>1980</v>
      </c>
      <c r="E178" s="36"/>
    </row>
    <row r="179" spans="1:5" ht="29" x14ac:dyDescent="0.4">
      <c r="A179" s="34" t="s">
        <v>1981</v>
      </c>
      <c r="B179" s="34" t="s">
        <v>1982</v>
      </c>
      <c r="C179" s="34" t="s">
        <v>1983</v>
      </c>
      <c r="D179" s="34" t="s">
        <v>1984</v>
      </c>
      <c r="E179" s="36"/>
    </row>
    <row r="180" spans="1:5" ht="29" x14ac:dyDescent="0.4">
      <c r="A180" s="35" t="s">
        <v>1985</v>
      </c>
      <c r="B180" s="35" t="s">
        <v>1986</v>
      </c>
      <c r="C180" s="35" t="s">
        <v>1987</v>
      </c>
      <c r="D180" s="35" t="s">
        <v>1988</v>
      </c>
      <c r="E180" s="36"/>
    </row>
    <row r="181" spans="1:5" ht="29" x14ac:dyDescent="0.4">
      <c r="A181" s="34" t="s">
        <v>1989</v>
      </c>
      <c r="B181" s="34" t="s">
        <v>1990</v>
      </c>
      <c r="C181" s="34" t="s">
        <v>1991</v>
      </c>
      <c r="D181" s="34" t="s">
        <v>1992</v>
      </c>
      <c r="E181" s="36"/>
    </row>
    <row r="182" spans="1:5" ht="43.5" x14ac:dyDescent="0.4">
      <c r="A182" s="35" t="s">
        <v>1993</v>
      </c>
      <c r="B182" s="35" t="s">
        <v>1994</v>
      </c>
      <c r="C182" s="35" t="s">
        <v>1995</v>
      </c>
      <c r="D182" s="35" t="s">
        <v>1996</v>
      </c>
      <c r="E182" s="36"/>
    </row>
    <row r="183" spans="1:5" x14ac:dyDescent="0.4">
      <c r="A183" s="34" t="s">
        <v>1997</v>
      </c>
      <c r="B183" s="34" t="s">
        <v>1998</v>
      </c>
      <c r="C183" s="34" t="s">
        <v>1999</v>
      </c>
      <c r="D183" s="34" t="s">
        <v>2000</v>
      </c>
      <c r="E183" s="36"/>
    </row>
    <row r="184" spans="1:5" ht="29" x14ac:dyDescent="0.4">
      <c r="A184" s="35" t="s">
        <v>2001</v>
      </c>
      <c r="B184" s="35" t="s">
        <v>2002</v>
      </c>
      <c r="C184" s="35" t="s">
        <v>2003</v>
      </c>
      <c r="D184" s="35" t="s">
        <v>2004</v>
      </c>
      <c r="E184" s="36"/>
    </row>
    <row r="185" spans="1:5" ht="29" x14ac:dyDescent="0.4">
      <c r="A185" s="34" t="s">
        <v>2005</v>
      </c>
      <c r="B185" s="34" t="s">
        <v>2006</v>
      </c>
      <c r="C185" s="34" t="s">
        <v>2007</v>
      </c>
      <c r="D185" s="34" t="s">
        <v>2008</v>
      </c>
      <c r="E185" s="36"/>
    </row>
    <row r="186" spans="1:5" ht="29" x14ac:dyDescent="0.4">
      <c r="A186" s="35" t="s">
        <v>2009</v>
      </c>
      <c r="B186" s="35" t="s">
        <v>2010</v>
      </c>
      <c r="C186" s="35" t="s">
        <v>2011</v>
      </c>
      <c r="D186" s="35" t="s">
        <v>2012</v>
      </c>
      <c r="E186" s="36"/>
    </row>
    <row r="187" spans="1:5" ht="29" x14ac:dyDescent="0.4">
      <c r="A187" s="34" t="s">
        <v>2013</v>
      </c>
      <c r="B187" s="34" t="s">
        <v>2014</v>
      </c>
      <c r="C187" s="34" t="s">
        <v>2015</v>
      </c>
      <c r="D187" s="34" t="s">
        <v>2016</v>
      </c>
      <c r="E187" s="36"/>
    </row>
    <row r="188" spans="1:5" ht="29" x14ac:dyDescent="0.4">
      <c r="A188" s="35" t="s">
        <v>2017</v>
      </c>
      <c r="B188" s="35" t="s">
        <v>2018</v>
      </c>
      <c r="C188" s="35" t="s">
        <v>2019</v>
      </c>
      <c r="D188" s="35" t="s">
        <v>2020</v>
      </c>
      <c r="E188" s="36"/>
    </row>
    <row r="189" spans="1:5" x14ac:dyDescent="0.4">
      <c r="A189" s="34" t="s">
        <v>2021</v>
      </c>
      <c r="B189" s="34" t="s">
        <v>2022</v>
      </c>
      <c r="C189" s="34" t="s">
        <v>2023</v>
      </c>
      <c r="D189" s="34" t="s">
        <v>2024</v>
      </c>
      <c r="E189" s="36"/>
    </row>
    <row r="190" spans="1:5" ht="29" x14ac:dyDescent="0.4">
      <c r="A190" s="35" t="s">
        <v>2025</v>
      </c>
      <c r="B190" s="35" t="s">
        <v>2026</v>
      </c>
      <c r="C190" s="35" t="s">
        <v>2027</v>
      </c>
      <c r="D190" s="35" t="s">
        <v>2028</v>
      </c>
      <c r="E190" s="36"/>
    </row>
    <row r="191" spans="1:5" ht="29" x14ac:dyDescent="0.4">
      <c r="A191" s="34" t="s">
        <v>2029</v>
      </c>
      <c r="B191" s="34" t="s">
        <v>2030</v>
      </c>
      <c r="C191" s="34" t="s">
        <v>2031</v>
      </c>
      <c r="D191" s="34" t="s">
        <v>2032</v>
      </c>
      <c r="E191" s="36"/>
    </row>
    <row r="192" spans="1:5" ht="29" x14ac:dyDescent="0.4">
      <c r="A192" s="35" t="s">
        <v>2033</v>
      </c>
      <c r="B192" s="35" t="s">
        <v>2034</v>
      </c>
      <c r="C192" s="35" t="s">
        <v>2035</v>
      </c>
      <c r="D192" s="35" t="s">
        <v>2036</v>
      </c>
      <c r="E192" s="36"/>
    </row>
    <row r="193" spans="1:5" ht="29" x14ac:dyDescent="0.4">
      <c r="A193" s="34" t="s">
        <v>2037</v>
      </c>
      <c r="B193" s="34" t="s">
        <v>2038</v>
      </c>
      <c r="C193" s="34" t="s">
        <v>2039</v>
      </c>
      <c r="D193" s="34" t="s">
        <v>2040</v>
      </c>
      <c r="E193" s="36"/>
    </row>
    <row r="194" spans="1:5" x14ac:dyDescent="0.4">
      <c r="A194" s="35" t="s">
        <v>2041</v>
      </c>
      <c r="B194" s="35" t="s">
        <v>2042</v>
      </c>
      <c r="C194" s="35" t="s">
        <v>2043</v>
      </c>
      <c r="D194" s="35" t="s">
        <v>2044</v>
      </c>
      <c r="E194" s="36"/>
    </row>
    <row r="195" spans="1:5" ht="29" x14ac:dyDescent="0.4">
      <c r="A195" s="34" t="s">
        <v>2045</v>
      </c>
      <c r="B195" s="34" t="s">
        <v>2046</v>
      </c>
      <c r="C195" s="34" t="s">
        <v>2047</v>
      </c>
      <c r="D195" s="34" t="s">
        <v>2048</v>
      </c>
      <c r="E195" s="36"/>
    </row>
    <row r="196" spans="1:5" ht="29" x14ac:dyDescent="0.4">
      <c r="A196" s="35" t="s">
        <v>2049</v>
      </c>
      <c r="B196" s="35" t="s">
        <v>2050</v>
      </c>
      <c r="C196" s="35" t="s">
        <v>2051</v>
      </c>
      <c r="D196" s="35" t="s">
        <v>2052</v>
      </c>
      <c r="E196" s="36"/>
    </row>
    <row r="197" spans="1:5" ht="43.5" x14ac:dyDescent="0.4">
      <c r="A197" s="34" t="s">
        <v>2053</v>
      </c>
      <c r="B197" s="34" t="s">
        <v>2054</v>
      </c>
      <c r="C197" s="34" t="s">
        <v>2055</v>
      </c>
      <c r="D197" s="34" t="s">
        <v>2056</v>
      </c>
      <c r="E197" s="36"/>
    </row>
    <row r="198" spans="1:5" ht="29" x14ac:dyDescent="0.4">
      <c r="A198" s="35" t="s">
        <v>2057</v>
      </c>
      <c r="B198" s="35" t="s">
        <v>2058</v>
      </c>
      <c r="C198" s="35" t="s">
        <v>2059</v>
      </c>
      <c r="D198" s="35" t="s">
        <v>2060</v>
      </c>
      <c r="E198" s="36"/>
    </row>
    <row r="199" spans="1:5" ht="29" x14ac:dyDescent="0.4">
      <c r="A199" s="34" t="s">
        <v>2061</v>
      </c>
      <c r="B199" s="34" t="s">
        <v>2062</v>
      </c>
      <c r="C199" s="34" t="s">
        <v>2063</v>
      </c>
      <c r="D199" s="34" t="s">
        <v>2064</v>
      </c>
      <c r="E199" s="36"/>
    </row>
    <row r="200" spans="1:5" ht="29" x14ac:dyDescent="0.4">
      <c r="A200" s="35" t="s">
        <v>2065</v>
      </c>
      <c r="B200" s="35" t="s">
        <v>2066</v>
      </c>
      <c r="C200" s="35" t="s">
        <v>2067</v>
      </c>
      <c r="D200" s="35" t="s">
        <v>2068</v>
      </c>
      <c r="E200" s="36"/>
    </row>
    <row r="201" spans="1:5" ht="29" x14ac:dyDescent="0.4">
      <c r="A201" s="34" t="s">
        <v>2069</v>
      </c>
      <c r="B201" s="34" t="s">
        <v>2070</v>
      </c>
      <c r="C201" s="34" t="s">
        <v>2071</v>
      </c>
      <c r="D201" s="34" t="s">
        <v>2072</v>
      </c>
      <c r="E201" s="36"/>
    </row>
    <row r="202" spans="1:5" ht="29" x14ac:dyDescent="0.4">
      <c r="A202" s="35" t="s">
        <v>2073</v>
      </c>
      <c r="B202" s="35" t="s">
        <v>2074</v>
      </c>
      <c r="C202" s="35" t="s">
        <v>2075</v>
      </c>
      <c r="D202" s="35" t="s">
        <v>2076</v>
      </c>
      <c r="E202" s="36"/>
    </row>
    <row r="203" spans="1:5" ht="43.5" x14ac:dyDescent="0.4">
      <c r="A203" s="34" t="s">
        <v>2077</v>
      </c>
      <c r="B203" s="34" t="s">
        <v>2078</v>
      </c>
      <c r="C203" s="34" t="s">
        <v>2079</v>
      </c>
      <c r="D203" s="34" t="s">
        <v>2080</v>
      </c>
      <c r="E203" s="36"/>
    </row>
    <row r="204" spans="1:5" ht="58" x14ac:dyDescent="0.4">
      <c r="A204" s="35" t="s">
        <v>2081</v>
      </c>
      <c r="B204" s="35" t="s">
        <v>2082</v>
      </c>
      <c r="C204" s="35" t="s">
        <v>2083</v>
      </c>
      <c r="D204" s="35" t="s">
        <v>2084</v>
      </c>
      <c r="E204" s="36"/>
    </row>
    <row r="205" spans="1:5" ht="29" x14ac:dyDescent="0.4">
      <c r="A205" s="34" t="s">
        <v>2085</v>
      </c>
      <c r="B205" s="34" t="s">
        <v>2086</v>
      </c>
      <c r="C205" s="34" t="s">
        <v>2087</v>
      </c>
      <c r="D205" s="34" t="s">
        <v>2088</v>
      </c>
      <c r="E205" s="36"/>
    </row>
    <row r="206" spans="1:5" ht="43.5" x14ac:dyDescent="0.4">
      <c r="A206" s="35" t="s">
        <v>2089</v>
      </c>
      <c r="B206" s="35" t="s">
        <v>2090</v>
      </c>
      <c r="C206" s="35" t="s">
        <v>2091</v>
      </c>
      <c r="D206" s="35" t="s">
        <v>2092</v>
      </c>
      <c r="E206" s="36"/>
    </row>
    <row r="207" spans="1:5" ht="29" x14ac:dyDescent="0.4">
      <c r="A207" s="34" t="s">
        <v>2093</v>
      </c>
      <c r="B207" s="34" t="s">
        <v>2094</v>
      </c>
      <c r="C207" s="34" t="s">
        <v>2095</v>
      </c>
      <c r="D207" s="34" t="s">
        <v>2096</v>
      </c>
      <c r="E207" s="36"/>
    </row>
    <row r="208" spans="1:5" ht="43.5" x14ac:dyDescent="0.4">
      <c r="A208" s="35" t="s">
        <v>2097</v>
      </c>
      <c r="B208" s="35" t="s">
        <v>2098</v>
      </c>
      <c r="C208" s="35" t="s">
        <v>2099</v>
      </c>
      <c r="D208" s="35" t="s">
        <v>2100</v>
      </c>
      <c r="E208" s="36"/>
    </row>
    <row r="209" spans="1:5" ht="43.5" x14ac:dyDescent="0.4">
      <c r="A209" s="34" t="s">
        <v>2101</v>
      </c>
      <c r="B209" s="34" t="s">
        <v>2102</v>
      </c>
      <c r="C209" s="34" t="s">
        <v>2103</v>
      </c>
      <c r="D209" s="34" t="s">
        <v>2104</v>
      </c>
      <c r="E209" s="36"/>
    </row>
    <row r="210" spans="1:5" ht="29" x14ac:dyDescent="0.4">
      <c r="A210" s="35" t="s">
        <v>2105</v>
      </c>
      <c r="B210" s="35" t="s">
        <v>2106</v>
      </c>
      <c r="C210" s="35" t="s">
        <v>2107</v>
      </c>
      <c r="D210" s="35" t="s">
        <v>2108</v>
      </c>
      <c r="E210" s="36"/>
    </row>
    <row r="211" spans="1:5" ht="29" x14ac:dyDescent="0.4">
      <c r="A211" s="34" t="s">
        <v>2109</v>
      </c>
      <c r="B211" s="34" t="s">
        <v>2110</v>
      </c>
      <c r="C211" s="34" t="s">
        <v>2111</v>
      </c>
      <c r="D211" s="34" t="s">
        <v>2112</v>
      </c>
      <c r="E211" s="36"/>
    </row>
    <row r="212" spans="1:5" ht="43.5" x14ac:dyDescent="0.4">
      <c r="A212" s="35" t="s">
        <v>2113</v>
      </c>
      <c r="B212" s="35" t="s">
        <v>2114</v>
      </c>
      <c r="C212" s="35" t="s">
        <v>2115</v>
      </c>
      <c r="D212" s="35" t="s">
        <v>2116</v>
      </c>
      <c r="E212" s="36"/>
    </row>
    <row r="213" spans="1:5" ht="43.5" x14ac:dyDescent="0.4">
      <c r="A213" s="34" t="s">
        <v>2117</v>
      </c>
      <c r="B213" s="34" t="s">
        <v>2118</v>
      </c>
      <c r="C213" s="34" t="s">
        <v>2119</v>
      </c>
      <c r="D213" s="34" t="s">
        <v>2120</v>
      </c>
      <c r="E213" s="36"/>
    </row>
    <row r="214" spans="1:5" ht="29" x14ac:dyDescent="0.4">
      <c r="A214" s="35" t="s">
        <v>2121</v>
      </c>
      <c r="B214" s="35" t="s">
        <v>2122</v>
      </c>
      <c r="C214" s="35" t="s">
        <v>2123</v>
      </c>
      <c r="D214" s="35" t="s">
        <v>2124</v>
      </c>
      <c r="E214" s="36"/>
    </row>
    <row r="215" spans="1:5" x14ac:dyDescent="0.4">
      <c r="A215" s="34" t="s">
        <v>2125</v>
      </c>
      <c r="B215" s="34" t="s">
        <v>2126</v>
      </c>
      <c r="C215" s="34" t="s">
        <v>2127</v>
      </c>
      <c r="D215" s="34" t="s">
        <v>2128</v>
      </c>
      <c r="E215" s="36"/>
    </row>
    <row r="216" spans="1:5" ht="29" x14ac:dyDescent="0.4">
      <c r="A216" s="35" t="s">
        <v>2129</v>
      </c>
      <c r="B216" s="35" t="s">
        <v>2130</v>
      </c>
      <c r="C216" s="35" t="s">
        <v>2131</v>
      </c>
      <c r="D216" s="35" t="s">
        <v>2132</v>
      </c>
      <c r="E216" s="36"/>
    </row>
    <row r="217" spans="1:5" x14ac:dyDescent="0.4">
      <c r="A217" s="34" t="s">
        <v>2133</v>
      </c>
      <c r="B217" s="34" t="s">
        <v>1321</v>
      </c>
      <c r="C217" s="34" t="s">
        <v>2134</v>
      </c>
      <c r="D217" s="34" t="s">
        <v>2135</v>
      </c>
      <c r="E217" s="36"/>
    </row>
    <row r="218" spans="1:5" ht="29" x14ac:dyDescent="0.4">
      <c r="A218" s="35" t="s">
        <v>2136</v>
      </c>
      <c r="B218" s="35" t="s">
        <v>2137</v>
      </c>
      <c r="C218" s="35" t="s">
        <v>2138</v>
      </c>
      <c r="D218" s="35" t="s">
        <v>2139</v>
      </c>
      <c r="E218" s="36"/>
    </row>
    <row r="219" spans="1:5" ht="29" x14ac:dyDescent="0.4">
      <c r="A219" s="34" t="s">
        <v>2140</v>
      </c>
      <c r="B219" s="34" t="s">
        <v>2141</v>
      </c>
      <c r="C219" s="34" t="s">
        <v>2142</v>
      </c>
      <c r="D219" s="34" t="s">
        <v>2143</v>
      </c>
      <c r="E219" s="36"/>
    </row>
    <row r="220" spans="1:5" ht="29" x14ac:dyDescent="0.4">
      <c r="A220" s="35" t="s">
        <v>2144</v>
      </c>
      <c r="B220" s="35" t="s">
        <v>2145</v>
      </c>
      <c r="C220" s="35" t="s">
        <v>2146</v>
      </c>
      <c r="D220" s="35" t="s">
        <v>2147</v>
      </c>
      <c r="E220" s="36"/>
    </row>
    <row r="221" spans="1:5" ht="29" x14ac:dyDescent="0.4">
      <c r="A221" s="34" t="s">
        <v>2148</v>
      </c>
      <c r="B221" s="34" t="s">
        <v>2149</v>
      </c>
      <c r="C221" s="34" t="s">
        <v>2150</v>
      </c>
      <c r="D221" s="34" t="s">
        <v>2151</v>
      </c>
      <c r="E221" s="36"/>
    </row>
    <row r="222" spans="1:5" ht="29" x14ac:dyDescent="0.4">
      <c r="A222" s="35" t="s">
        <v>2152</v>
      </c>
      <c r="B222" s="35" t="s">
        <v>2153</v>
      </c>
      <c r="C222" s="35" t="s">
        <v>2154</v>
      </c>
      <c r="D222" s="35" t="s">
        <v>2155</v>
      </c>
      <c r="E222" s="36"/>
    </row>
    <row r="223" spans="1:5" ht="43.5" x14ac:dyDescent="0.4">
      <c r="A223" s="34" t="s">
        <v>2156</v>
      </c>
      <c r="B223" s="34" t="s">
        <v>2157</v>
      </c>
      <c r="C223" s="34" t="s">
        <v>2158</v>
      </c>
      <c r="D223" s="34" t="s">
        <v>2159</v>
      </c>
      <c r="E223" s="36"/>
    </row>
    <row r="224" spans="1:5" ht="29" x14ac:dyDescent="0.4">
      <c r="A224" s="35" t="s">
        <v>2160</v>
      </c>
      <c r="B224" s="35" t="s">
        <v>2161</v>
      </c>
      <c r="C224" s="35" t="s">
        <v>2162</v>
      </c>
      <c r="D224" s="35" t="s">
        <v>2163</v>
      </c>
      <c r="E224" s="36"/>
    </row>
    <row r="225" spans="1:5" ht="29" x14ac:dyDescent="0.4">
      <c r="A225" s="34" t="s">
        <v>2164</v>
      </c>
      <c r="B225" s="34" t="s">
        <v>2165</v>
      </c>
      <c r="C225" s="34" t="s">
        <v>2166</v>
      </c>
      <c r="D225" s="34" t="s">
        <v>2167</v>
      </c>
      <c r="E225" s="36"/>
    </row>
    <row r="226" spans="1:5" ht="29" x14ac:dyDescent="0.4">
      <c r="A226" s="35" t="s">
        <v>2168</v>
      </c>
      <c r="B226" s="35" t="s">
        <v>2169</v>
      </c>
      <c r="C226" s="35" t="s">
        <v>2170</v>
      </c>
      <c r="D226" s="35" t="s">
        <v>2171</v>
      </c>
      <c r="E226" s="36"/>
    </row>
    <row r="227" spans="1:5" ht="29" x14ac:dyDescent="0.4">
      <c r="A227" s="34" t="s">
        <v>2172</v>
      </c>
      <c r="B227" s="34" t="s">
        <v>2173</v>
      </c>
      <c r="C227" s="34" t="s">
        <v>2174</v>
      </c>
      <c r="D227" s="34" t="s">
        <v>2175</v>
      </c>
      <c r="E227" s="36"/>
    </row>
    <row r="228" spans="1:5" x14ac:dyDescent="0.4">
      <c r="A228" s="35" t="s">
        <v>2176</v>
      </c>
      <c r="B228" s="35" t="s">
        <v>2177</v>
      </c>
      <c r="C228" s="35" t="s">
        <v>2178</v>
      </c>
      <c r="D228" s="35" t="s">
        <v>2179</v>
      </c>
      <c r="E228" s="36"/>
    </row>
    <row r="229" spans="1:5" x14ac:dyDescent="0.4">
      <c r="A229" s="34" t="s">
        <v>2180</v>
      </c>
      <c r="B229" s="34" t="s">
        <v>2181</v>
      </c>
      <c r="C229" s="34" t="s">
        <v>2182</v>
      </c>
      <c r="D229" s="34" t="s">
        <v>2183</v>
      </c>
      <c r="E229" s="36"/>
    </row>
    <row r="230" spans="1:5" ht="29" x14ac:dyDescent="0.4">
      <c r="A230" s="35" t="s">
        <v>2184</v>
      </c>
      <c r="B230" s="35" t="s">
        <v>2185</v>
      </c>
      <c r="C230" s="35" t="s">
        <v>2186</v>
      </c>
      <c r="D230" s="35" t="s">
        <v>2187</v>
      </c>
      <c r="E230" s="36"/>
    </row>
    <row r="231" spans="1:5" ht="29" x14ac:dyDescent="0.4">
      <c r="A231" s="34" t="s">
        <v>2188</v>
      </c>
      <c r="B231" s="34" t="s">
        <v>2189</v>
      </c>
      <c r="C231" s="34" t="s">
        <v>2190</v>
      </c>
      <c r="D231" s="34" t="s">
        <v>2191</v>
      </c>
      <c r="E231" s="36"/>
    </row>
    <row r="232" spans="1:5" ht="29" x14ac:dyDescent="0.4">
      <c r="A232" s="35" t="s">
        <v>2192</v>
      </c>
      <c r="B232" s="35" t="s">
        <v>2193</v>
      </c>
      <c r="C232" s="35" t="s">
        <v>2194</v>
      </c>
      <c r="D232" s="35" t="s">
        <v>2195</v>
      </c>
      <c r="E232" s="36"/>
    </row>
    <row r="233" spans="1:5" ht="29" x14ac:dyDescent="0.4">
      <c r="A233" s="34" t="s">
        <v>2196</v>
      </c>
      <c r="B233" s="34" t="s">
        <v>2197</v>
      </c>
      <c r="C233" s="34" t="s">
        <v>2198</v>
      </c>
      <c r="D233" s="34" t="s">
        <v>2199</v>
      </c>
      <c r="E233" s="36"/>
    </row>
    <row r="234" spans="1:5" x14ac:dyDescent="0.4">
      <c r="A234" s="35" t="s">
        <v>2200</v>
      </c>
      <c r="B234" s="35" t="s">
        <v>2201</v>
      </c>
      <c r="C234" s="35" t="s">
        <v>2202</v>
      </c>
      <c r="D234" s="35" t="s">
        <v>2203</v>
      </c>
      <c r="E234" s="36"/>
    </row>
    <row r="235" spans="1:5" ht="43.5" x14ac:dyDescent="0.4">
      <c r="A235" s="34" t="s">
        <v>2204</v>
      </c>
      <c r="B235" s="34" t="s">
        <v>2205</v>
      </c>
      <c r="C235" s="34" t="s">
        <v>2206</v>
      </c>
      <c r="D235" s="34" t="s">
        <v>2207</v>
      </c>
      <c r="E235" s="36"/>
    </row>
    <row r="236" spans="1:5" x14ac:dyDescent="0.4">
      <c r="A236" s="35" t="s">
        <v>2208</v>
      </c>
      <c r="B236" s="35" t="s">
        <v>2209</v>
      </c>
      <c r="C236" s="35" t="s">
        <v>2210</v>
      </c>
      <c r="D236" s="35" t="s">
        <v>2211</v>
      </c>
      <c r="E236" s="36"/>
    </row>
    <row r="237" spans="1:5" ht="29" x14ac:dyDescent="0.4">
      <c r="A237" s="34" t="s">
        <v>2212</v>
      </c>
      <c r="B237" s="34" t="s">
        <v>2213</v>
      </c>
      <c r="C237" s="34" t="s">
        <v>2214</v>
      </c>
      <c r="D237" s="34" t="s">
        <v>2215</v>
      </c>
      <c r="E237" s="36"/>
    </row>
    <row r="238" spans="1:5" ht="29" x14ac:dyDescent="0.4">
      <c r="A238" s="35" t="s">
        <v>2216</v>
      </c>
      <c r="B238" s="35" t="s">
        <v>2217</v>
      </c>
      <c r="C238" s="35" t="s">
        <v>2218</v>
      </c>
      <c r="D238" s="35" t="s">
        <v>2219</v>
      </c>
      <c r="E238" s="36"/>
    </row>
    <row r="239" spans="1:5" ht="29" x14ac:dyDescent="0.4">
      <c r="A239" s="34" t="s">
        <v>2220</v>
      </c>
      <c r="B239" s="34" t="s">
        <v>2221</v>
      </c>
      <c r="C239" s="34" t="s">
        <v>2222</v>
      </c>
      <c r="D239" s="34" t="s">
        <v>2223</v>
      </c>
      <c r="E239" s="36"/>
    </row>
    <row r="240" spans="1:5" ht="43.5" x14ac:dyDescent="0.4">
      <c r="A240" s="35" t="s">
        <v>2224</v>
      </c>
      <c r="B240" s="35" t="s">
        <v>2225</v>
      </c>
      <c r="C240" s="35" t="s">
        <v>2226</v>
      </c>
      <c r="D240" s="35" t="s">
        <v>2227</v>
      </c>
      <c r="E240" s="36"/>
    </row>
    <row r="241" spans="1:5" ht="29" x14ac:dyDescent="0.4">
      <c r="A241" s="34" t="s">
        <v>2228</v>
      </c>
      <c r="B241" s="34" t="s">
        <v>2229</v>
      </c>
      <c r="C241" s="34" t="s">
        <v>2230</v>
      </c>
      <c r="D241" s="34" t="s">
        <v>2231</v>
      </c>
      <c r="E241" s="36"/>
    </row>
    <row r="242" spans="1:5" ht="29" x14ac:dyDescent="0.4">
      <c r="A242" s="35" t="s">
        <v>2232</v>
      </c>
      <c r="B242" s="35" t="s">
        <v>2233</v>
      </c>
      <c r="C242" s="35" t="s">
        <v>2234</v>
      </c>
      <c r="D242" s="35" t="s">
        <v>2235</v>
      </c>
      <c r="E242" s="36"/>
    </row>
    <row r="243" spans="1:5" ht="29" x14ac:dyDescent="0.4">
      <c r="A243" s="34" t="s">
        <v>2236</v>
      </c>
      <c r="B243" s="34" t="s">
        <v>2237</v>
      </c>
      <c r="C243" s="34" t="s">
        <v>2238</v>
      </c>
      <c r="D243" s="34" t="s">
        <v>2239</v>
      </c>
      <c r="E243" s="36"/>
    </row>
    <row r="244" spans="1:5" ht="29" x14ac:dyDescent="0.4">
      <c r="A244" s="35" t="s">
        <v>2240</v>
      </c>
      <c r="B244" s="35" t="s">
        <v>2241</v>
      </c>
      <c r="C244" s="35" t="s">
        <v>2242</v>
      </c>
      <c r="D244" s="35" t="s">
        <v>2243</v>
      </c>
      <c r="E244" s="36"/>
    </row>
    <row r="245" spans="1:5" ht="29" x14ac:dyDescent="0.4">
      <c r="A245" s="34" t="s">
        <v>2244</v>
      </c>
      <c r="B245" s="34" t="s">
        <v>2245</v>
      </c>
      <c r="C245" s="34" t="s">
        <v>2246</v>
      </c>
      <c r="D245" s="34" t="s">
        <v>2247</v>
      </c>
      <c r="E245" s="36"/>
    </row>
    <row r="246" spans="1:5" ht="43.5" x14ac:dyDescent="0.4">
      <c r="A246" s="35" t="s">
        <v>2248</v>
      </c>
      <c r="B246" s="35" t="s">
        <v>2249</v>
      </c>
      <c r="C246" s="35" t="s">
        <v>2250</v>
      </c>
      <c r="D246" s="35" t="s">
        <v>2251</v>
      </c>
      <c r="E246" s="36"/>
    </row>
    <row r="247" spans="1:5" ht="29" x14ac:dyDescent="0.4">
      <c r="A247" s="34" t="s">
        <v>2252</v>
      </c>
      <c r="B247" s="34" t="s">
        <v>2253</v>
      </c>
      <c r="C247" s="34" t="s">
        <v>2254</v>
      </c>
      <c r="D247" s="34" t="s">
        <v>2255</v>
      </c>
      <c r="E247" s="36"/>
    </row>
    <row r="248" spans="1:5" ht="29" x14ac:dyDescent="0.4">
      <c r="A248" s="40" t="s">
        <v>2316</v>
      </c>
      <c r="B248" s="35" t="s">
        <v>2256</v>
      </c>
      <c r="C248" s="35" t="s">
        <v>2257</v>
      </c>
      <c r="D248" s="35" t="s">
        <v>2258</v>
      </c>
      <c r="E248" s="42"/>
    </row>
    <row r="249" spans="1:5" ht="29" x14ac:dyDescent="0.4">
      <c r="A249" s="34" t="s">
        <v>2259</v>
      </c>
      <c r="B249" s="34" t="s">
        <v>2260</v>
      </c>
      <c r="C249" s="34" t="s">
        <v>2261</v>
      </c>
      <c r="D249" s="34" t="s">
        <v>2262</v>
      </c>
      <c r="E249" s="36"/>
    </row>
    <row r="250" spans="1:5" ht="58" x14ac:dyDescent="0.4">
      <c r="A250" s="35" t="s">
        <v>2263</v>
      </c>
      <c r="B250" s="35" t="s">
        <v>2264</v>
      </c>
      <c r="C250" s="35" t="s">
        <v>2265</v>
      </c>
      <c r="D250" s="35" t="s">
        <v>2266</v>
      </c>
      <c r="E250" s="36"/>
    </row>
    <row r="251" spans="1:5" ht="29" x14ac:dyDescent="0.4">
      <c r="A251" s="34" t="s">
        <v>2267</v>
      </c>
      <c r="B251" s="34" t="s">
        <v>2268</v>
      </c>
      <c r="C251" s="34" t="s">
        <v>2269</v>
      </c>
      <c r="D251" s="34" t="s">
        <v>2270</v>
      </c>
      <c r="E251" s="36"/>
    </row>
    <row r="252" spans="1:5" ht="29" x14ac:dyDescent="0.4">
      <c r="A252" s="35" t="s">
        <v>2271</v>
      </c>
      <c r="B252" s="35" t="s">
        <v>2272</v>
      </c>
      <c r="C252" s="35" t="s">
        <v>2273</v>
      </c>
      <c r="D252" s="35" t="s">
        <v>2274</v>
      </c>
      <c r="E252" s="36"/>
    </row>
    <row r="253" spans="1:5" ht="43.5" x14ac:dyDescent="0.4">
      <c r="A253" s="34" t="s">
        <v>2275</v>
      </c>
      <c r="B253" s="34" t="s">
        <v>2276</v>
      </c>
      <c r="C253" s="34" t="s">
        <v>2277</v>
      </c>
      <c r="D253" s="34" t="s">
        <v>2278</v>
      </c>
      <c r="E253" s="36"/>
    </row>
    <row r="254" spans="1:5" ht="29" x14ac:dyDescent="0.4">
      <c r="A254" s="35" t="s">
        <v>2279</v>
      </c>
      <c r="B254" s="35" t="s">
        <v>2280</v>
      </c>
      <c r="C254" s="35" t="s">
        <v>2281</v>
      </c>
      <c r="D254" s="35" t="s">
        <v>2282</v>
      </c>
      <c r="E254" s="36"/>
    </row>
    <row r="255" spans="1:5" ht="29" x14ac:dyDescent="0.4">
      <c r="A255" s="34" t="s">
        <v>2283</v>
      </c>
      <c r="B255" s="34" t="s">
        <v>2284</v>
      </c>
      <c r="C255" s="34" t="s">
        <v>2285</v>
      </c>
      <c r="D255" s="34" t="s">
        <v>2286</v>
      </c>
      <c r="E255" s="36"/>
    </row>
    <row r="256" spans="1:5" ht="43.5" x14ac:dyDescent="0.4">
      <c r="A256" s="35" t="s">
        <v>2287</v>
      </c>
      <c r="B256" s="35" t="s">
        <v>2288</v>
      </c>
      <c r="C256" s="35" t="s">
        <v>2289</v>
      </c>
      <c r="D256" s="35" t="s">
        <v>2290</v>
      </c>
      <c r="E256" s="36"/>
    </row>
    <row r="257" spans="1:5" ht="29" x14ac:dyDescent="0.4">
      <c r="A257" s="34" t="s">
        <v>2291</v>
      </c>
      <c r="B257" s="34" t="s">
        <v>2292</v>
      </c>
      <c r="C257" s="34" t="s">
        <v>2293</v>
      </c>
      <c r="D257" s="34" t="s">
        <v>2294</v>
      </c>
      <c r="E257" s="36"/>
    </row>
    <row r="258" spans="1:5" ht="29" x14ac:dyDescent="0.4">
      <c r="A258" s="35" t="s">
        <v>2295</v>
      </c>
      <c r="B258" s="35" t="s">
        <v>2296</v>
      </c>
      <c r="C258" s="35" t="s">
        <v>2297</v>
      </c>
      <c r="D258" s="35" t="s">
        <v>2298</v>
      </c>
      <c r="E258" s="36"/>
    </row>
    <row r="259" spans="1:5" ht="29" x14ac:dyDescent="0.4">
      <c r="A259" s="34" t="s">
        <v>2299</v>
      </c>
      <c r="B259" s="34" t="s">
        <v>2300</v>
      </c>
      <c r="C259" s="34" t="s">
        <v>2301</v>
      </c>
      <c r="D259" s="34" t="s">
        <v>2302</v>
      </c>
      <c r="E259" s="36"/>
    </row>
    <row r="260" spans="1:5" ht="29" x14ac:dyDescent="0.4">
      <c r="A260" s="35" t="s">
        <v>2303</v>
      </c>
      <c r="B260" s="35" t="s">
        <v>2304</v>
      </c>
      <c r="C260" s="35" t="s">
        <v>2305</v>
      </c>
      <c r="D260" s="35" t="s">
        <v>2306</v>
      </c>
      <c r="E260" s="36"/>
    </row>
    <row r="261" spans="1:5" ht="29" x14ac:dyDescent="0.4">
      <c r="A261" s="34" t="s">
        <v>2307</v>
      </c>
      <c r="B261" s="34" t="s">
        <v>2308</v>
      </c>
      <c r="C261" s="34" t="s">
        <v>2309</v>
      </c>
      <c r="D261" s="34" t="s">
        <v>2310</v>
      </c>
      <c r="E261" s="38"/>
    </row>
  </sheetData>
  <phoneticPr fontId="2"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菜式清單</vt:lpstr>
      <vt:lpstr>材料</vt:lpstr>
      <vt:lpstr>做法</vt:lpstr>
      <vt:lpstr>材料庫</vt:lpstr>
      <vt:lpstr>清單選項</vt:lpstr>
      <vt:lpstr>dish_trans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k32932</dc:creator>
  <cp:lastModifiedBy>k32932</cp:lastModifiedBy>
  <dcterms:created xsi:type="dcterms:W3CDTF">2026-10-15T01:35:11Z</dcterms:created>
  <dcterms:modified xsi:type="dcterms:W3CDTF">2026-10-30T22:25:39Z</dcterms:modified>
</cp:coreProperties>
</file>