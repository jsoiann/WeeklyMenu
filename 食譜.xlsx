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skyan\OneDrive\桌面\"/>
    </mc:Choice>
  </mc:AlternateContent>
  <xr:revisionPtr revIDLastSave="0" documentId="13_ncr:1_{2C476572-81E0-4D0B-A7BA-9E72FCF9379F}" xr6:coauthVersionLast="47" xr6:coauthVersionMax="47" xr10:uidLastSave="{00000000-0000-0000-0000-000000000000}"/>
  <bookViews>
    <workbookView xWindow="-110" yWindow="-110" windowWidth="19420" windowHeight="10300" xr2:uid="{D3CD4B5A-BC5A-4F70-9177-788540974920}"/>
  </bookViews>
  <sheets>
    <sheet name="菜式清單" sheetId="1" r:id="rId1"/>
    <sheet name="材料" sheetId="2" r:id="rId2"/>
    <sheet name="做法" sheetId="3" r:id="rId3"/>
    <sheet name="材料庫" sheetId="4" r:id="rId4"/>
    <sheet name="清單選項"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01" i="3" l="1"/>
  <c r="A102" i="3"/>
  <c r="E101" i="3"/>
  <c r="E102" i="3"/>
  <c r="F101" i="3"/>
  <c r="F102" i="3"/>
  <c r="G101" i="3"/>
  <c r="G102" i="3"/>
  <c r="A210" i="2"/>
  <c r="D100" i="4"/>
  <c r="B77" i="4"/>
  <c r="C77" i="4"/>
  <c r="D77" i="4"/>
  <c r="B78" i="4"/>
  <c r="C78" i="4"/>
  <c r="D78" i="4"/>
  <c r="B79" i="4"/>
  <c r="C79" i="4"/>
  <c r="D79" i="4"/>
  <c r="B80" i="4"/>
  <c r="C80" i="4"/>
  <c r="D80" i="4"/>
  <c r="B81" i="4"/>
  <c r="C81" i="4"/>
  <c r="D81" i="4"/>
  <c r="B82" i="4"/>
  <c r="C82" i="4"/>
  <c r="D82" i="4"/>
  <c r="B83" i="4"/>
  <c r="C83" i="4"/>
  <c r="D83" i="4"/>
  <c r="C84" i="4"/>
  <c r="D84" i="4"/>
  <c r="B85" i="4"/>
  <c r="C85" i="4"/>
  <c r="D85" i="4"/>
  <c r="B86" i="4"/>
  <c r="C86" i="4"/>
  <c r="D86" i="4"/>
  <c r="B87" i="4"/>
  <c r="C87" i="4"/>
  <c r="D87" i="4"/>
  <c r="B88" i="4"/>
  <c r="C88" i="4"/>
  <c r="D88" i="4"/>
  <c r="B89" i="4"/>
  <c r="C89" i="4"/>
  <c r="D89" i="4"/>
  <c r="B90" i="4"/>
  <c r="C90" i="4"/>
  <c r="D90" i="4"/>
  <c r="C91" i="4"/>
  <c r="D91" i="4"/>
  <c r="B92" i="4"/>
  <c r="C92" i="4"/>
  <c r="D92" i="4"/>
  <c r="B93" i="4"/>
  <c r="C93" i="4"/>
  <c r="D93" i="4"/>
  <c r="B94" i="4"/>
  <c r="C94" i="4"/>
  <c r="D94" i="4"/>
  <c r="B95" i="4"/>
  <c r="C95" i="4"/>
  <c r="D95" i="4"/>
  <c r="B96" i="4"/>
  <c r="C96" i="4"/>
  <c r="D96" i="4"/>
  <c r="B97" i="4"/>
  <c r="C97" i="4"/>
  <c r="D97" i="4"/>
  <c r="C98" i="4"/>
  <c r="B99" i="4"/>
  <c r="C99" i="4"/>
  <c r="D99" i="4"/>
  <c r="C100" i="4"/>
  <c r="A206" i="2"/>
  <c r="A207" i="2"/>
  <c r="A208" i="2"/>
  <c r="A209" i="2"/>
  <c r="A99" i="3"/>
  <c r="A100" i="3"/>
  <c r="E99" i="3"/>
  <c r="E100" i="3"/>
  <c r="F99" i="3"/>
  <c r="F100" i="3"/>
  <c r="G99" i="3"/>
  <c r="G100" i="3"/>
  <c r="A205" i="2"/>
  <c r="A204" i="2"/>
  <c r="A96" i="3"/>
  <c r="A97" i="3"/>
  <c r="A98" i="3"/>
  <c r="E96" i="3"/>
  <c r="E97" i="3"/>
  <c r="E98" i="3"/>
  <c r="F96" i="3"/>
  <c r="F97" i="3"/>
  <c r="F98" i="3"/>
  <c r="G96" i="3"/>
  <c r="G97" i="3"/>
  <c r="G98" i="3"/>
  <c r="A201" i="2"/>
  <c r="A202" i="2"/>
  <c r="A203" i="2"/>
  <c r="A200" i="2"/>
  <c r="A199" i="2"/>
  <c r="A93" i="3"/>
  <c r="A94" i="3"/>
  <c r="A95" i="3"/>
  <c r="E93" i="3"/>
  <c r="E94" i="3"/>
  <c r="E95" i="3"/>
  <c r="F93" i="3"/>
  <c r="F94" i="3"/>
  <c r="F95" i="3"/>
  <c r="G93" i="3"/>
  <c r="G94" i="3"/>
  <c r="G95" i="3"/>
  <c r="A197" i="2"/>
  <c r="A198" i="2"/>
  <c r="A196" i="2"/>
  <c r="A195" i="2"/>
  <c r="C1" i="4"/>
  <c r="D1" i="4"/>
  <c r="A192" i="2"/>
  <c r="A193" i="2"/>
  <c r="A194" i="2"/>
  <c r="A92" i="3"/>
  <c r="E92" i="3"/>
  <c r="F92" i="3"/>
  <c r="G92" i="3"/>
  <c r="A91" i="3"/>
  <c r="E91" i="3"/>
  <c r="F91" i="3"/>
  <c r="G91" i="3"/>
  <c r="A191" i="2"/>
  <c r="A190" i="2"/>
  <c r="A89" i="3"/>
  <c r="A90" i="3"/>
  <c r="E89" i="3"/>
  <c r="E90" i="3"/>
  <c r="F89" i="3"/>
  <c r="F90" i="3"/>
  <c r="G89" i="3"/>
  <c r="G90" i="3"/>
  <c r="A88" i="3"/>
  <c r="E88" i="3"/>
  <c r="F88" i="3"/>
  <c r="G88" i="3"/>
  <c r="A87" i="3"/>
  <c r="E87" i="3"/>
  <c r="F87" i="3"/>
  <c r="G87" i="3"/>
  <c r="A185" i="2"/>
  <c r="A186" i="2"/>
  <c r="A187" i="2"/>
  <c r="A188" i="2"/>
  <c r="A189" i="2"/>
  <c r="A183" i="2"/>
  <c r="A184" i="2"/>
  <c r="A165" i="2"/>
  <c r="A166" i="2"/>
  <c r="A167" i="2"/>
  <c r="A168" i="2"/>
  <c r="A169" i="2"/>
  <c r="A170" i="2"/>
  <c r="A171" i="2"/>
  <c r="A172" i="2"/>
  <c r="A173" i="2"/>
  <c r="A174" i="2"/>
  <c r="A175" i="2"/>
  <c r="A176" i="2"/>
  <c r="A177" i="2"/>
  <c r="A178" i="2"/>
  <c r="A179" i="2"/>
  <c r="A180" i="2"/>
  <c r="A181" i="2"/>
  <c r="A182" i="2"/>
  <c r="A83" i="3"/>
  <c r="A84" i="3"/>
  <c r="A85" i="3"/>
  <c r="A86" i="3"/>
  <c r="E83" i="3"/>
  <c r="E84" i="3"/>
  <c r="E85" i="3"/>
  <c r="E86" i="3"/>
  <c r="F83" i="3"/>
  <c r="F84" i="3"/>
  <c r="F85" i="3"/>
  <c r="F86" i="3"/>
  <c r="G83" i="3"/>
  <c r="G84" i="3"/>
  <c r="G85" i="3"/>
  <c r="G86" i="3"/>
  <c r="A162" i="2"/>
  <c r="A163" i="2"/>
  <c r="A164" i="2"/>
  <c r="A79" i="3"/>
  <c r="A80" i="3"/>
  <c r="A81" i="3"/>
  <c r="A82" i="3"/>
  <c r="E79" i="3"/>
  <c r="E80" i="3"/>
  <c r="E81" i="3"/>
  <c r="E82" i="3"/>
  <c r="F79" i="3"/>
  <c r="F80" i="3"/>
  <c r="F81" i="3"/>
  <c r="F82" i="3"/>
  <c r="G79" i="3"/>
  <c r="G80" i="3"/>
  <c r="G81" i="3"/>
  <c r="G82" i="3"/>
  <c r="A75" i="3"/>
  <c r="A76" i="3"/>
  <c r="A77" i="3"/>
  <c r="A78" i="3"/>
  <c r="E75" i="3"/>
  <c r="E76" i="3"/>
  <c r="E77" i="3"/>
  <c r="E78" i="3"/>
  <c r="F75" i="3"/>
  <c r="F76" i="3"/>
  <c r="F77" i="3"/>
  <c r="F78" i="3"/>
  <c r="G75" i="3"/>
  <c r="G76" i="3"/>
  <c r="G77" i="3"/>
  <c r="G78" i="3"/>
  <c r="A156" i="2"/>
  <c r="A157" i="2"/>
  <c r="A158" i="2"/>
  <c r="A159" i="2"/>
  <c r="A160" i="2"/>
  <c r="A161" i="2"/>
  <c r="A72" i="3"/>
  <c r="A73" i="3"/>
  <c r="A74" i="3"/>
  <c r="E72" i="3"/>
  <c r="E73" i="3"/>
  <c r="E74" i="3"/>
  <c r="F72" i="3"/>
  <c r="F73" i="3"/>
  <c r="F74" i="3"/>
  <c r="G72" i="3"/>
  <c r="G73" i="3"/>
  <c r="G74" i="3"/>
  <c r="A148" i="2"/>
  <c r="A149" i="2"/>
  <c r="A150" i="2"/>
  <c r="A151" i="2"/>
  <c r="A152" i="2"/>
  <c r="A153" i="2"/>
  <c r="A154" i="2"/>
  <c r="A155" i="2"/>
  <c r="A147" i="2"/>
  <c r="A71" i="3"/>
  <c r="E71" i="3"/>
  <c r="F71" i="3"/>
  <c r="G71" i="3"/>
  <c r="A70" i="3"/>
  <c r="E70" i="3"/>
  <c r="F70" i="3"/>
  <c r="G70" i="3"/>
  <c r="A68" i="3"/>
  <c r="A69" i="3"/>
  <c r="E68" i="3"/>
  <c r="E69" i="3"/>
  <c r="F68" i="3"/>
  <c r="F69" i="3"/>
  <c r="G68" i="3"/>
  <c r="G69" i="3"/>
  <c r="A146" i="2"/>
  <c r="A145" i="2"/>
  <c r="A142" i="2"/>
  <c r="A143" i="2"/>
  <c r="A144" i="2"/>
  <c r="A141" i="2"/>
  <c r="A140" i="2"/>
  <c r="A67" i="3"/>
  <c r="E67" i="3"/>
  <c r="F67" i="3"/>
  <c r="G67" i="3"/>
  <c r="A139" i="2"/>
  <c r="A138" i="2"/>
  <c r="A137" i="2"/>
  <c r="A136" i="2"/>
  <c r="A65" i="3"/>
  <c r="A66" i="3"/>
  <c r="E65" i="3"/>
  <c r="E66" i="3"/>
  <c r="F65" i="3"/>
  <c r="F66" i="3"/>
  <c r="G65" i="3"/>
  <c r="G66" i="3"/>
  <c r="A64" i="3"/>
  <c r="E64" i="3"/>
  <c r="F64" i="3"/>
  <c r="G64" i="3"/>
  <c r="A135" i="2"/>
  <c r="A134" i="2"/>
  <c r="A133" i="2"/>
  <c r="A63" i="3"/>
  <c r="E63" i="3"/>
  <c r="F63" i="3"/>
  <c r="G63" i="3"/>
  <c r="A62" i="3"/>
  <c r="E62" i="3"/>
  <c r="F62" i="3"/>
  <c r="G62" i="3"/>
  <c r="A132" i="2"/>
  <c r="A131" i="2"/>
  <c r="A130" i="2"/>
  <c r="A61" i="3"/>
  <c r="E61" i="3"/>
  <c r="F61" i="3"/>
  <c r="G61" i="3"/>
  <c r="A129" i="2"/>
  <c r="A59" i="3"/>
  <c r="A60" i="3"/>
  <c r="E59" i="3"/>
  <c r="E60" i="3"/>
  <c r="F59" i="3"/>
  <c r="F60" i="3"/>
  <c r="G59" i="3"/>
  <c r="G60" i="3"/>
  <c r="A58" i="3"/>
  <c r="E58" i="3"/>
  <c r="F58" i="3"/>
  <c r="G58" i="3"/>
  <c r="A125" i="2"/>
  <c r="A126" i="2"/>
  <c r="A127" i="2"/>
  <c r="A128" i="2"/>
  <c r="A124" i="2"/>
  <c r="A123" i="2"/>
  <c r="A57" i="3"/>
  <c r="E57" i="3"/>
  <c r="F57" i="3"/>
  <c r="G57" i="3"/>
  <c r="A56" i="3"/>
  <c r="E56" i="3"/>
  <c r="F56" i="3"/>
  <c r="G56"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2" i="3"/>
  <c r="E55" i="3"/>
  <c r="F55" i="3"/>
  <c r="G55" i="3"/>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D9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163" authorId="0" shapeId="0" xr:uid="{00000000-0006-0000-0100-000018000000}">
      <text>
        <r>
          <rPr>
            <sz val="12"/>
            <color theme="1"/>
            <rFont val="新細明體"/>
            <family val="2"/>
            <charset val="136"/>
            <scheme val="minor"/>
          </rPr>
          <t>手寫「2匙」（前面有塗改），茶匙/湯匙待確認</t>
        </r>
      </text>
    </comment>
    <comment ref="F164" authorId="0" shapeId="0" xr:uid="{00000000-0006-0000-0100-000019000000}">
      <text>
        <r>
          <rPr>
            <sz val="12"/>
            <color theme="1"/>
            <rFont val="新細明體"/>
            <family val="2"/>
            <charset val="136"/>
            <scheme val="minor"/>
          </rPr>
          <t>手寫字不清（似「2匙半糖」），份量/單位待確認</t>
        </r>
      </text>
    </comment>
    <comment ref="E165" authorId="0" shapeId="0" xr:uid="{00000000-0006-0000-0100-00001A000000}">
      <text>
        <r>
          <rPr>
            <sz val="12"/>
            <color theme="1"/>
            <rFont val="新細明體"/>
            <family val="2"/>
            <charset val="136"/>
            <scheme val="minor"/>
          </rPr>
          <t>括號內手寫似「800g」，待確認</t>
        </r>
      </text>
    </comment>
    <comment ref="E172" authorId="0" shapeId="0" xr:uid="{00000000-0006-0000-0100-00001F000000}">
      <text>
        <r>
          <rPr>
            <sz val="12"/>
            <color theme="1"/>
            <rFont val="新細明體"/>
            <family val="2"/>
            <charset val="136"/>
            <scheme val="minor"/>
          </rPr>
          <t>醃料Ⓐ；手寫「羅斗」，字不清（薑汁？）</t>
        </r>
      </text>
    </comment>
    <comment ref="D176" authorId="0" shapeId="0" xr:uid="{00000000-0006-0000-0100-000023000000}">
      <text>
        <r>
          <rPr>
            <sz val="12"/>
            <color theme="1"/>
            <rFont val="新細明體"/>
            <family val="2"/>
            <charset val="136"/>
            <scheme val="minor"/>
          </rPr>
          <t>醃料Ⓐ；「生抽」出現兩次，第二個可能係老抽或重複</t>
        </r>
      </text>
    </comment>
    <comment ref="D177" authorId="0" shapeId="0" xr:uid="{00000000-0006-0000-0100-000024000000}">
      <text>
        <r>
          <rPr>
            <sz val="12"/>
            <color theme="1"/>
            <rFont val="新細明體"/>
            <family val="2"/>
            <charset val="136"/>
            <scheme val="minor"/>
          </rPr>
          <t>芡汁Ⓑ</t>
        </r>
      </text>
    </comment>
    <comment ref="D178" authorId="0" shapeId="0" xr:uid="{00000000-0006-0000-0100-000025000000}">
      <text>
        <r>
          <rPr>
            <sz val="12"/>
            <color theme="1"/>
            <rFont val="新細明體"/>
            <family val="2"/>
            <charset val="136"/>
            <scheme val="minor"/>
          </rPr>
          <t>芡汁Ⓑ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D25" authorId="0" shapeId="0" xr:uid="{9C86073D-2677-417A-AB08-D321EF476175}">
      <text>
        <r>
          <rPr>
            <sz val="12"/>
            <color theme="1"/>
            <rFont val="新細明體"/>
            <family val="2"/>
            <charset val="136"/>
            <scheme val="minor"/>
          </rPr>
          <t>手寫「半1sp」「2sp」，單位不清，暫寫「匙」</t>
        </r>
      </text>
    </comment>
    <comment ref="D27" authorId="0" shapeId="0" xr:uid="{A12E4064-7AC7-44CA-B38A-D3C80F88A937}">
      <text>
        <r>
          <rPr>
            <sz val="12"/>
            <color theme="1"/>
            <rFont val="新細明體"/>
            <family val="2"/>
            <charset val="136"/>
            <scheme val="minor"/>
          </rPr>
          <t>手寫字不清，似「加1杯滾水」</t>
        </r>
      </text>
    </comment>
    <comment ref="D37" authorId="0" shapeId="0" xr:uid="{6519F562-A210-4DD1-84AC-E4ADDCB099F3}">
      <text>
        <r>
          <rPr>
            <sz val="12"/>
            <color theme="1"/>
            <rFont val="新細明體"/>
            <family val="2"/>
            <charset val="136"/>
            <scheme val="minor"/>
          </rPr>
          <t>手寫末段「倒入菠菜，盛起」被劃走，菠菜如何同湯蛋合併待確認</t>
        </r>
      </text>
    </comment>
    <comment ref="D39" authorId="0" shapeId="0" xr:uid="{10BEF367-7427-40D8-AE86-2AD0D973BB24}">
      <text>
        <r>
          <rPr>
            <sz val="12"/>
            <color theme="1"/>
            <rFont val="新細明體"/>
            <family val="2"/>
            <charset val="136"/>
            <scheme val="minor"/>
          </rPr>
          <t>手寫「拿拿」及「表面濕」字不清</t>
        </r>
      </text>
    </comment>
    <comment ref="D48" authorId="0" shapeId="0" xr:uid="{C7FD163B-885B-4706-80A0-EB69B0F9D8A6}">
      <text>
        <r>
          <rPr>
            <sz val="12"/>
            <color theme="1"/>
            <rFont val="新細明體"/>
            <family val="2"/>
            <charset val="136"/>
            <scheme val="minor"/>
          </rPr>
          <t>手寫「一定要拿面」字不清</t>
        </r>
      </text>
    </comment>
    <comment ref="D50" authorId="0" shapeId="0" xr:uid="{57F2032D-C667-4AC0-AAE1-83F208426282}">
      <text>
        <r>
          <rPr>
            <sz val="12"/>
            <color theme="1"/>
            <rFont val="新細明體"/>
            <family val="2"/>
            <charset val="136"/>
            <scheme val="minor"/>
          </rPr>
          <t>手寫有塗改（下大滾煮），整句待確認</t>
        </r>
      </text>
    </comment>
  </commentList>
</comments>
</file>

<file path=xl/sharedStrings.xml><?xml version="1.0" encoding="utf-8"?>
<sst xmlns="http://schemas.openxmlformats.org/spreadsheetml/2006/main" count="4163" uniqueCount="1196">
  <si>
    <r>
      <rPr>
        <sz val="12"/>
        <color theme="1"/>
        <rFont val="新細明體"/>
        <family val="2"/>
        <charset val="136"/>
      </rPr>
      <t>菜系</t>
    </r>
    <phoneticPr fontId="2" type="noConversion"/>
  </si>
  <si>
    <t>Dish</t>
    <phoneticPr fontId="2" type="noConversion"/>
  </si>
  <si>
    <r>
      <rPr>
        <sz val="12"/>
        <color theme="1"/>
        <rFont val="細明體"/>
        <family val="2"/>
        <charset val="136"/>
      </rPr>
      <t>菜名</t>
    </r>
    <phoneticPr fontId="2" type="noConversion"/>
  </si>
  <si>
    <r>
      <rPr>
        <sz val="12"/>
        <color theme="1"/>
        <rFont val="細明體"/>
        <family val="2"/>
        <charset val="136"/>
      </rPr>
      <t>中式</t>
    </r>
    <phoneticPr fontId="2" type="noConversion"/>
  </si>
  <si>
    <r>
      <rPr>
        <sz val="12"/>
        <color theme="1"/>
        <rFont val="細明體"/>
        <family val="2"/>
        <charset val="136"/>
      </rPr>
      <t>燕麥蒸肉餅</t>
    </r>
    <phoneticPr fontId="2" type="noConversion"/>
  </si>
  <si>
    <t>西式</t>
    <phoneticPr fontId="2" type="noConversion"/>
  </si>
  <si>
    <t>Yes</t>
    <phoneticPr fontId="2" type="noConversion"/>
  </si>
  <si>
    <t>No</t>
    <phoneticPr fontId="2" type="noConversion"/>
  </si>
  <si>
    <t>蒸水蛋</t>
    <phoneticPr fontId="2" type="noConversion"/>
  </si>
  <si>
    <t>肉碎蒸水蛋</t>
    <phoneticPr fontId="2" type="noConversion"/>
  </si>
  <si>
    <t>鼓椒炒蜆</t>
    <phoneticPr fontId="2" type="noConversion"/>
  </si>
  <si>
    <t>冬菜蒸青根</t>
    <phoneticPr fontId="2" type="noConversion"/>
  </si>
  <si>
    <t>白奶油燉雞扒</t>
    <phoneticPr fontId="2" type="noConversion"/>
  </si>
  <si>
    <t>泰式</t>
    <phoneticPr fontId="2" type="noConversion"/>
  </si>
  <si>
    <t>麻婆豆腐</t>
    <phoneticPr fontId="2" type="noConversion"/>
  </si>
  <si>
    <t>蒜蓉蒸茄子</t>
    <phoneticPr fontId="2" type="noConversion"/>
  </si>
  <si>
    <t>金銀蛋菠菜</t>
    <phoneticPr fontId="2" type="noConversion"/>
  </si>
  <si>
    <r>
      <rPr>
        <sz val="12"/>
        <color theme="1"/>
        <rFont val="細明體"/>
        <family val="2"/>
        <charset val="136"/>
      </rPr>
      <t>純素</t>
    </r>
    <phoneticPr fontId="2" type="noConversion"/>
  </si>
  <si>
    <r>
      <rPr>
        <sz val="12"/>
        <color theme="1"/>
        <rFont val="細明體"/>
        <family val="2"/>
        <charset val="136"/>
      </rPr>
      <t>蛋奶素</t>
    </r>
    <phoneticPr fontId="2" type="noConversion"/>
  </si>
  <si>
    <r>
      <rPr>
        <sz val="12"/>
        <color theme="1"/>
        <rFont val="細明體"/>
        <family val="2"/>
        <charset val="136"/>
      </rPr>
      <t>煎牛扒</t>
    </r>
    <phoneticPr fontId="2" type="noConversion"/>
  </si>
  <si>
    <r>
      <rPr>
        <sz val="12"/>
        <color theme="1"/>
        <rFont val="細明體"/>
        <family val="2"/>
        <charset val="136"/>
      </rPr>
      <t>打拋豬</t>
    </r>
    <phoneticPr fontId="2" type="noConversion"/>
  </si>
  <si>
    <r>
      <rPr>
        <sz val="12"/>
        <color theme="1"/>
        <rFont val="細明體"/>
        <family val="2"/>
        <charset val="136"/>
      </rPr>
      <t>餐點類別</t>
    </r>
    <r>
      <rPr>
        <sz val="12"/>
        <color theme="1"/>
        <rFont val="Calibri"/>
        <family val="2"/>
      </rPr>
      <t>(Menu)</t>
    </r>
    <phoneticPr fontId="2" type="noConversion"/>
  </si>
  <si>
    <t>Breakfast</t>
    <phoneticPr fontId="2" type="noConversion"/>
  </si>
  <si>
    <t>Lunch</t>
    <phoneticPr fontId="2" type="noConversion"/>
  </si>
  <si>
    <t>Dinner</t>
    <phoneticPr fontId="2" type="noConversion"/>
  </si>
  <si>
    <t>牛奶凍</t>
    <phoneticPr fontId="2" type="noConversion"/>
  </si>
  <si>
    <t>吞拿魚秋葵沙律</t>
    <phoneticPr fontId="2" type="noConversion"/>
  </si>
  <si>
    <t>日式</t>
    <phoneticPr fontId="2" type="noConversion"/>
  </si>
  <si>
    <t>椰汁燉芋頭</t>
    <phoneticPr fontId="2" type="noConversion"/>
  </si>
  <si>
    <t>阿育吠陀</t>
  </si>
  <si>
    <t>焗芝士肉醬薯仔批</t>
    <phoneticPr fontId="2" type="noConversion"/>
  </si>
  <si>
    <t>腐竹芋圓糖水</t>
    <phoneticPr fontId="2" type="noConversion"/>
  </si>
  <si>
    <t>韓式飯卷</t>
    <phoneticPr fontId="2" type="noConversion"/>
  </si>
  <si>
    <t>芝士三文治</t>
    <phoneticPr fontId="2" type="noConversion"/>
  </si>
  <si>
    <t>薯仔白咖喱</t>
    <phoneticPr fontId="2" type="noConversion"/>
  </si>
  <si>
    <t>韓式</t>
    <phoneticPr fontId="2" type="noConversion"/>
  </si>
  <si>
    <t>豆泥咖喱</t>
    <phoneticPr fontId="2" type="noConversion"/>
  </si>
  <si>
    <t>薑葱焗桶蠔</t>
    <phoneticPr fontId="2" type="noConversion"/>
  </si>
  <si>
    <t>土匪雞翼</t>
    <phoneticPr fontId="2" type="noConversion"/>
  </si>
  <si>
    <t>涼伴雲耳</t>
    <phoneticPr fontId="2" type="noConversion"/>
  </si>
  <si>
    <t>拍青瓜</t>
    <phoneticPr fontId="2" type="noConversion"/>
  </si>
  <si>
    <t>涼伴雞絲</t>
    <phoneticPr fontId="2" type="noConversion"/>
  </si>
  <si>
    <t>滋陰健胃湯</t>
    <phoneticPr fontId="2" type="noConversion"/>
  </si>
  <si>
    <t>淮山粟米粟子湯</t>
    <phoneticPr fontId="2" type="noConversion"/>
  </si>
  <si>
    <t>魚唇滋陰養顏湯</t>
    <phoneticPr fontId="2" type="noConversion"/>
  </si>
  <si>
    <t>姬松菇養心安神湯</t>
    <phoneticPr fontId="2" type="noConversion"/>
  </si>
  <si>
    <t>薑汁撞奶</t>
    <phoneticPr fontId="2" type="noConversion"/>
  </si>
  <si>
    <t>洋葱豬排</t>
    <phoneticPr fontId="2" type="noConversion"/>
  </si>
  <si>
    <t>井</t>
    <phoneticPr fontId="2" type="noConversion"/>
  </si>
  <si>
    <t>水牛蘑菇</t>
    <phoneticPr fontId="2" type="noConversion"/>
  </si>
  <si>
    <t>泰式魚餅</t>
    <phoneticPr fontId="2" type="noConversion"/>
  </si>
  <si>
    <t>蕃茄青口</t>
    <phoneticPr fontId="2" type="noConversion"/>
  </si>
  <si>
    <t>京葱炒羊肉片</t>
    <phoneticPr fontId="2" type="noConversion"/>
  </si>
  <si>
    <t>台灣滷肉</t>
    <phoneticPr fontId="2" type="noConversion"/>
  </si>
  <si>
    <t>泰式豬排</t>
    <phoneticPr fontId="2" type="noConversion"/>
  </si>
  <si>
    <t>洋葱湯</t>
    <phoneticPr fontId="2" type="noConversion"/>
  </si>
  <si>
    <t>羊架</t>
    <phoneticPr fontId="2" type="noConversion"/>
  </si>
  <si>
    <t>雞蛋薯仔沙律</t>
    <phoneticPr fontId="2" type="noConversion"/>
  </si>
  <si>
    <t>墨西哥芝士餡餅</t>
    <phoneticPr fontId="2" type="noConversion"/>
  </si>
  <si>
    <t>金菇肥牛卷</t>
    <phoneticPr fontId="2" type="noConversion"/>
  </si>
  <si>
    <t>印度奶油雞</t>
    <phoneticPr fontId="2" type="noConversion"/>
  </si>
  <si>
    <t>腐乳雞翼</t>
    <phoneticPr fontId="2" type="noConversion"/>
  </si>
  <si>
    <t>泰式豬頸肉</t>
    <phoneticPr fontId="2" type="noConversion"/>
  </si>
  <si>
    <t>白汁芝士焗菠菜薯仔</t>
    <phoneticPr fontId="2" type="noConversion"/>
  </si>
  <si>
    <r>
      <rPr>
        <sz val="12"/>
        <color theme="1"/>
        <rFont val="細明體"/>
        <family val="2"/>
        <charset val="136"/>
      </rPr>
      <t>純素香蕉</t>
    </r>
    <r>
      <rPr>
        <sz val="12"/>
        <color theme="1"/>
        <rFont val="新細明體"/>
        <family val="2"/>
        <charset val="136"/>
        <scheme val="minor"/>
      </rPr>
      <t>pancake</t>
    </r>
    <phoneticPr fontId="2" type="noConversion"/>
  </si>
  <si>
    <r>
      <t>香蕉</t>
    </r>
    <r>
      <rPr>
        <sz val="12"/>
        <color theme="1"/>
        <rFont val="Calibri"/>
        <family val="2"/>
      </rPr>
      <t>pancake</t>
    </r>
  </si>
  <si>
    <t>清冬蔭公湯</t>
    <phoneticPr fontId="2" type="noConversion"/>
  </si>
  <si>
    <t>米紙蛋餅</t>
    <phoneticPr fontId="2" type="noConversion"/>
  </si>
  <si>
    <t>Yogurt</t>
    <phoneticPr fontId="2" type="noConversion"/>
  </si>
  <si>
    <t>牛丼</t>
    <phoneticPr fontId="2" type="noConversion"/>
  </si>
  <si>
    <t>蓮藕炒甘筍</t>
    <phoneticPr fontId="2" type="noConversion"/>
  </si>
  <si>
    <t>蒜蓉香菇</t>
    <phoneticPr fontId="2" type="noConversion"/>
  </si>
  <si>
    <t>關東煮</t>
    <phoneticPr fontId="2" type="noConversion"/>
  </si>
  <si>
    <t>蒜泥白肉</t>
    <phoneticPr fontId="2" type="noConversion"/>
  </si>
  <si>
    <t>茄子凍</t>
    <phoneticPr fontId="2" type="noConversion"/>
  </si>
  <si>
    <t>沙嗲串</t>
    <phoneticPr fontId="2" type="noConversion"/>
  </si>
  <si>
    <t>川椒雞</t>
    <phoneticPr fontId="2" type="noConversion"/>
  </si>
  <si>
    <t>牧羊人派</t>
    <phoneticPr fontId="2" type="noConversion"/>
  </si>
  <si>
    <t>奶油南瓜野菇飯</t>
    <phoneticPr fontId="2" type="noConversion"/>
  </si>
  <si>
    <t>南瓜餅</t>
    <phoneticPr fontId="2" type="noConversion"/>
  </si>
  <si>
    <t>日式拿玻里意粉</t>
    <phoneticPr fontId="2" type="noConversion"/>
  </si>
  <si>
    <t>素沙嗲串</t>
    <phoneticPr fontId="2" type="noConversion"/>
  </si>
  <si>
    <t>燜釀豆腐泡</t>
    <phoneticPr fontId="2" type="noConversion"/>
  </si>
  <si>
    <t>酸麵包法式吐司</t>
    <phoneticPr fontId="2" type="noConversion"/>
  </si>
  <si>
    <t>笛子卷餅</t>
    <phoneticPr fontId="2" type="noConversion"/>
  </si>
  <si>
    <t>香草爆米花</t>
    <phoneticPr fontId="2" type="noConversion"/>
  </si>
  <si>
    <t>茶漬飯</t>
    <phoneticPr fontId="2" type="noConversion"/>
  </si>
  <si>
    <t>夏野菜之燒浸</t>
    <phoneticPr fontId="2" type="noConversion"/>
  </si>
  <si>
    <t>豆腐沙律</t>
    <phoneticPr fontId="2" type="noConversion"/>
  </si>
  <si>
    <t>梅子薯蓉釀豆卜</t>
    <phoneticPr fontId="2" type="noConversion"/>
  </si>
  <si>
    <t>紅油抄手</t>
    <phoneticPr fontId="2" type="noConversion"/>
  </si>
  <si>
    <t>粉葛紅蘿蔔赤小豆扁豆湯</t>
    <phoneticPr fontId="2" type="noConversion"/>
  </si>
  <si>
    <t>韓式炒冬粉</t>
    <phoneticPr fontId="2" type="noConversion"/>
  </si>
  <si>
    <t>韓式雜菜拌飯</t>
    <phoneticPr fontId="2" type="noConversion"/>
  </si>
  <si>
    <t>雞蛋多士棒</t>
    <phoneticPr fontId="2" type="noConversion"/>
  </si>
  <si>
    <t>日式冷麵</t>
    <phoneticPr fontId="2" type="noConversion"/>
  </si>
  <si>
    <t>芒果素鰻壽司</t>
    <phoneticPr fontId="2" type="noConversion"/>
  </si>
  <si>
    <t>越南米紙卷</t>
    <phoneticPr fontId="2" type="noConversion"/>
  </si>
  <si>
    <t>意大利青瓜薯仔煎餅配酸忌廉醬</t>
    <phoneticPr fontId="2" type="noConversion"/>
  </si>
  <si>
    <t>焗迷你pizza</t>
    <phoneticPr fontId="2" type="noConversion"/>
  </si>
  <si>
    <t>薯蓉焗雜菜</t>
    <phoneticPr fontId="2" type="noConversion"/>
  </si>
  <si>
    <t>白菌薯仔素肉批</t>
    <phoneticPr fontId="2" type="noConversion"/>
  </si>
  <si>
    <t>牛油果西多士</t>
    <phoneticPr fontId="2" type="noConversion"/>
  </si>
  <si>
    <t>薯仔沙律蛋包</t>
    <phoneticPr fontId="2" type="noConversion"/>
  </si>
  <si>
    <t>素羅宋湯</t>
    <phoneticPr fontId="2" type="noConversion"/>
  </si>
  <si>
    <t>焗葡汁白菌豆腐飯</t>
    <phoneticPr fontId="2" type="noConversion"/>
  </si>
  <si>
    <t>紫薯布甸</t>
    <phoneticPr fontId="2" type="noConversion"/>
  </si>
  <si>
    <t>椰青木瓜果凍</t>
    <phoneticPr fontId="2" type="noConversion"/>
  </si>
  <si>
    <t>金銀菜湯</t>
    <phoneticPr fontId="2" type="noConversion"/>
  </si>
  <si>
    <t>印度菜</t>
    <phoneticPr fontId="2" type="noConversion"/>
  </si>
  <si>
    <t>印尼菜</t>
    <phoneticPr fontId="2" type="noConversion"/>
  </si>
  <si>
    <t>越南菜</t>
    <phoneticPr fontId="2" type="noConversion"/>
  </si>
  <si>
    <t>輕食</t>
    <phoneticPr fontId="2" type="noConversion"/>
  </si>
  <si>
    <t>Light Meal</t>
    <phoneticPr fontId="2" type="noConversion"/>
  </si>
  <si>
    <t>正常</t>
    <phoneticPr fontId="2" type="noConversion"/>
  </si>
  <si>
    <t>Diet</t>
    <phoneticPr fontId="2" type="noConversion"/>
  </si>
  <si>
    <r>
      <rPr>
        <sz val="12"/>
        <color theme="1"/>
        <rFont val="細明體"/>
        <family val="2"/>
        <charset val="136"/>
      </rPr>
      <t>飲食方式</t>
    </r>
    <r>
      <rPr>
        <sz val="12"/>
        <color theme="1"/>
        <rFont val="Calibri"/>
        <family val="2"/>
      </rPr>
      <t xml:space="preserve"> </t>
    </r>
    <phoneticPr fontId="2" type="noConversion"/>
  </si>
  <si>
    <t>Season</t>
    <phoneticPr fontId="2" type="noConversion"/>
  </si>
  <si>
    <t>季節</t>
    <phoneticPr fontId="2" type="noConversion"/>
  </si>
  <si>
    <t>全年</t>
    <phoneticPr fontId="2" type="noConversion"/>
  </si>
  <si>
    <t>冬</t>
    <phoneticPr fontId="2" type="noConversion"/>
  </si>
  <si>
    <t>夏</t>
    <phoneticPr fontId="2" type="noConversion"/>
  </si>
  <si>
    <t>主要蛋白質</t>
    <phoneticPr fontId="2" type="noConversion"/>
  </si>
  <si>
    <t>角色</t>
    <phoneticPr fontId="2" type="noConversion"/>
  </si>
  <si>
    <t>牛大力土茯苓湯</t>
    <phoneticPr fontId="2" type="noConversion"/>
  </si>
  <si>
    <t>日式梳乎厘班戟</t>
    <phoneticPr fontId="2" type="noConversion"/>
  </si>
  <si>
    <t>Dish Role</t>
    <phoneticPr fontId="2" type="noConversion"/>
  </si>
  <si>
    <t>Main Protein</t>
    <phoneticPr fontId="2" type="noConversion"/>
  </si>
  <si>
    <t>D0001</t>
  </si>
  <si>
    <t>D0001</t>
    <phoneticPr fontId="2" type="noConversion"/>
  </si>
  <si>
    <t>D0002</t>
    <phoneticPr fontId="2" type="noConversion"/>
  </si>
  <si>
    <t>D0003</t>
  </si>
  <si>
    <t>D0004</t>
  </si>
  <si>
    <t>D0005</t>
  </si>
  <si>
    <t>D0006</t>
  </si>
  <si>
    <t>D0007</t>
  </si>
  <si>
    <t>D0008</t>
  </si>
  <si>
    <t>D0009</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</si>
  <si>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</si>
  <si>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</si>
  <si>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</si>
  <si>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</si>
  <si>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</si>
  <si>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</si>
  <si>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</si>
  <si>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</si>
  <si>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</si>
  <si>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</si>
  <si>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</si>
  <si>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</si>
  <si>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</si>
  <si>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</si>
  <si>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</si>
  <si>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</si>
  <si>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</si>
  <si>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</si>
  <si>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</si>
  <si>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</si>
  <si>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</si>
  <si>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</si>
  <si>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</si>
  <si>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</si>
  <si>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</si>
  <si>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</si>
  <si>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</si>
  <si>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D0037</t>
  </si>
  <si>
    <t>D0038</t>
  </si>
  <si>
    <t>D0039</t>
  </si>
  <si>
    <t>D0040</t>
  </si>
  <si>
    <t>D0041</t>
  </si>
  <si>
    <t>D0042</t>
  </si>
  <si>
    <t>D0043</t>
  </si>
  <si>
    <t>D0044</t>
  </si>
  <si>
    <t>D0045</t>
  </si>
  <si>
    <t>D0046</t>
  </si>
  <si>
    <t>D0047</t>
  </si>
  <si>
    <t>D0048</t>
  </si>
  <si>
    <t>D0049</t>
  </si>
  <si>
    <t>D0050</t>
  </si>
  <si>
    <t>D0051</t>
  </si>
  <si>
    <t>D0052</t>
  </si>
  <si>
    <t>D0053</t>
  </si>
  <si>
    <t>D0054</t>
  </si>
  <si>
    <t>D0055</t>
  </si>
  <si>
    <t>D0056</t>
  </si>
  <si>
    <t>D0057</t>
  </si>
  <si>
    <t>D0058</t>
  </si>
  <si>
    <t>D0059</t>
  </si>
  <si>
    <t>D0060</t>
  </si>
  <si>
    <t>D0061</t>
  </si>
  <si>
    <t>D0062</t>
  </si>
  <si>
    <t>D0063</t>
  </si>
  <si>
    <t>D0064</t>
  </si>
  <si>
    <t>D0065</t>
  </si>
  <si>
    <t>D0066</t>
  </si>
  <si>
    <t>D0067</t>
  </si>
  <si>
    <t>D0068</t>
  </si>
  <si>
    <t>D0069</t>
  </si>
  <si>
    <t>D0070</t>
  </si>
  <si>
    <t>D0071</t>
  </si>
  <si>
    <t>D0072</t>
  </si>
  <si>
    <t>D0073</t>
  </si>
  <si>
    <t>D0074</t>
  </si>
  <si>
    <t>D0075</t>
  </si>
  <si>
    <t>D0076</t>
  </si>
  <si>
    <t>D0077</t>
  </si>
  <si>
    <t>D0078</t>
  </si>
  <si>
    <t>D0079</t>
  </si>
  <si>
    <t>D0080</t>
  </si>
  <si>
    <t>D0081</t>
  </si>
  <si>
    <t>D0082</t>
  </si>
  <si>
    <t>D0083</t>
  </si>
  <si>
    <t>D0084</t>
  </si>
  <si>
    <t>D0085</t>
  </si>
  <si>
    <t>D0086</t>
  </si>
  <si>
    <t>D0087</t>
  </si>
  <si>
    <t>D0088</t>
  </si>
  <si>
    <t>D0089</t>
  </si>
  <si>
    <t>D0090</t>
  </si>
  <si>
    <t>D0091</t>
  </si>
  <si>
    <t>D0092</t>
  </si>
  <si>
    <t>D0093</t>
  </si>
  <si>
    <t>D0094</t>
  </si>
  <si>
    <t>Filipino</t>
  </si>
  <si>
    <t>Bahasa</t>
  </si>
  <si>
    <r>
      <rPr>
        <sz val="12"/>
        <color theme="1"/>
        <rFont val="新細明體"/>
        <family val="1"/>
        <charset val="136"/>
      </rPr>
      <t>材料</t>
    </r>
  </si>
  <si>
    <r>
      <rPr>
        <sz val="12"/>
        <color theme="1"/>
        <rFont val="新細明體"/>
        <family val="1"/>
        <charset val="136"/>
      </rPr>
      <t>英文</t>
    </r>
  </si>
  <si>
    <t>雞蛋</t>
  </si>
  <si>
    <t>隻</t>
    <phoneticPr fontId="2" type="noConversion"/>
  </si>
  <si>
    <t>主菜</t>
    <phoneticPr fontId="2" type="noConversion"/>
  </si>
  <si>
    <t>豬肉</t>
    <phoneticPr fontId="2" type="noConversion"/>
  </si>
  <si>
    <t>蛋</t>
    <phoneticPr fontId="2" type="noConversion"/>
  </si>
  <si>
    <t>海鮮</t>
    <phoneticPr fontId="2" type="noConversion"/>
  </si>
  <si>
    <t>雞肉</t>
    <phoneticPr fontId="2" type="noConversion"/>
  </si>
  <si>
    <t>羊肉</t>
    <phoneticPr fontId="2" type="noConversion"/>
  </si>
  <si>
    <t>五花腩</t>
    <phoneticPr fontId="2" type="noConversion"/>
  </si>
  <si>
    <t>燕麥</t>
    <phoneticPr fontId="2" type="noConversion"/>
  </si>
  <si>
    <t>水</t>
  </si>
  <si>
    <t>水</t>
    <phoneticPr fontId="2" type="noConversion"/>
  </si>
  <si>
    <t xml:space="preserve"> - </t>
    <phoneticPr fontId="2" type="noConversion"/>
  </si>
  <si>
    <t>鹽</t>
  </si>
  <si>
    <t>鹽</t>
    <phoneticPr fontId="2" type="noConversion"/>
  </si>
  <si>
    <t>糖</t>
  </si>
  <si>
    <t>糖</t>
    <phoneticPr fontId="2" type="noConversion"/>
  </si>
  <si>
    <t>生粉</t>
  </si>
  <si>
    <t>生粉</t>
    <phoneticPr fontId="2" type="noConversion"/>
  </si>
  <si>
    <t>葱</t>
    <phoneticPr fontId="2" type="noConversion"/>
  </si>
  <si>
    <t>ML</t>
    <phoneticPr fontId="2" type="noConversion"/>
  </si>
  <si>
    <t>茶匙</t>
    <phoneticPr fontId="2" type="noConversion"/>
  </si>
  <si>
    <t>副菜</t>
    <phoneticPr fontId="2" type="noConversion"/>
  </si>
  <si>
    <t>甜品</t>
    <phoneticPr fontId="2" type="noConversion"/>
  </si>
  <si>
    <t>豆</t>
    <phoneticPr fontId="2" type="noConversion"/>
  </si>
  <si>
    <t>蔬菜</t>
    <phoneticPr fontId="2" type="noConversion"/>
  </si>
  <si>
    <t>奶</t>
    <phoneticPr fontId="2" type="noConversion"/>
  </si>
  <si>
    <t>牛肉</t>
    <phoneticPr fontId="2" type="noConversion"/>
  </si>
  <si>
    <t>木瓜</t>
    <phoneticPr fontId="2" type="noConversion"/>
  </si>
  <si>
    <t>椰漿</t>
  </si>
  <si>
    <t>椰漿</t>
    <phoneticPr fontId="2" type="noConversion"/>
  </si>
  <si>
    <t>椰青水</t>
  </si>
  <si>
    <t>椰青水</t>
    <phoneticPr fontId="2" type="noConversion"/>
  </si>
  <si>
    <t>大菜粉</t>
  </si>
  <si>
    <t>大菜粉</t>
    <phoneticPr fontId="2" type="noConversion"/>
  </si>
  <si>
    <r>
      <rPr>
        <b/>
        <sz val="12"/>
        <color theme="1"/>
        <rFont val="新細明體"/>
        <family val="1"/>
        <charset val="136"/>
      </rPr>
      <t>菜</t>
    </r>
    <r>
      <rPr>
        <b/>
        <sz val="12"/>
        <color theme="1"/>
        <rFont val="Calibri"/>
        <family val="2"/>
      </rPr>
      <t>ID</t>
    </r>
  </si>
  <si>
    <r>
      <rPr>
        <b/>
        <sz val="12"/>
        <color theme="1"/>
        <rFont val="新細明體"/>
        <family val="1"/>
        <charset val="136"/>
      </rPr>
      <t>類別</t>
    </r>
  </si>
  <si>
    <r>
      <rPr>
        <b/>
        <sz val="12"/>
        <color theme="1"/>
        <rFont val="新細明體"/>
        <family val="1"/>
        <charset val="136"/>
      </rPr>
      <t>材料</t>
    </r>
  </si>
  <si>
    <r>
      <rPr>
        <b/>
        <sz val="12"/>
        <color theme="1"/>
        <rFont val="新細明體"/>
        <family val="1"/>
        <charset val="136"/>
      </rPr>
      <t>份量</t>
    </r>
  </si>
  <si>
    <r>
      <rPr>
        <b/>
        <sz val="12"/>
        <color theme="1"/>
        <rFont val="新細明體"/>
        <family val="1"/>
        <charset val="136"/>
      </rPr>
      <t>單位</t>
    </r>
  </si>
  <si>
    <r>
      <rPr>
        <sz val="12"/>
        <color theme="1"/>
        <rFont val="新細明體"/>
        <family val="2"/>
        <charset val="136"/>
      </rPr>
      <t>食材</t>
    </r>
    <phoneticPr fontId="2" type="noConversion"/>
  </si>
  <si>
    <r>
      <rPr>
        <sz val="12"/>
        <color theme="1"/>
        <rFont val="新細明體"/>
        <family val="2"/>
        <charset val="136"/>
      </rPr>
      <t>兩</t>
    </r>
    <phoneticPr fontId="2" type="noConversion"/>
  </si>
  <si>
    <r>
      <rPr>
        <sz val="12"/>
        <color theme="1"/>
        <rFont val="新細明體"/>
        <family val="2"/>
        <charset val="136"/>
      </rPr>
      <t>匙</t>
    </r>
    <phoneticPr fontId="2" type="noConversion"/>
  </si>
  <si>
    <r>
      <rPr>
        <sz val="12"/>
        <color theme="1"/>
        <rFont val="新細明體"/>
        <family val="2"/>
        <charset val="136"/>
      </rPr>
      <t>調味</t>
    </r>
    <phoneticPr fontId="2" type="noConversion"/>
  </si>
  <si>
    <r>
      <rPr>
        <sz val="12"/>
        <color theme="1"/>
        <rFont val="新細明體"/>
        <family val="2"/>
        <charset val="136"/>
      </rPr>
      <t>茶匙</t>
    </r>
    <phoneticPr fontId="2" type="noConversion"/>
  </si>
  <si>
    <r>
      <rPr>
        <sz val="12"/>
        <color theme="1"/>
        <rFont val="新細明體"/>
        <family val="2"/>
        <charset val="136"/>
      </rPr>
      <t>裝飾</t>
    </r>
    <phoneticPr fontId="2" type="noConversion"/>
  </si>
  <si>
    <r>
      <rPr>
        <sz val="12"/>
        <color theme="1"/>
        <rFont val="新細明體"/>
        <family val="2"/>
        <charset val="136"/>
      </rPr>
      <t>適量</t>
    </r>
    <phoneticPr fontId="2" type="noConversion"/>
  </si>
  <si>
    <r>
      <rPr>
        <sz val="12"/>
        <color theme="1"/>
        <rFont val="新細明體"/>
        <family val="2"/>
        <charset val="136"/>
      </rPr>
      <t>個</t>
    </r>
    <phoneticPr fontId="2" type="noConversion"/>
  </si>
  <si>
    <t>G</t>
    <phoneticPr fontId="2" type="noConversion"/>
  </si>
  <si>
    <r>
      <rPr>
        <b/>
        <sz val="12"/>
        <color theme="1"/>
        <rFont val="新細明體"/>
        <family val="1"/>
        <charset val="136"/>
      </rPr>
      <t>步驟</t>
    </r>
  </si>
  <si>
    <r>
      <rPr>
        <b/>
        <sz val="12"/>
        <color theme="1"/>
        <rFont val="新細明體"/>
        <family val="1"/>
        <charset val="136"/>
      </rPr>
      <t>內容</t>
    </r>
  </si>
  <si>
    <r>
      <rPr>
        <sz val="12"/>
        <color theme="1"/>
        <rFont val="新細明體"/>
        <family val="2"/>
        <charset val="136"/>
      </rPr>
      <t>將木瓜橫切一半</t>
    </r>
    <r>
      <rPr>
        <sz val="12"/>
        <color theme="1"/>
        <rFont val="Calibri"/>
        <family val="2"/>
      </rPr>
      <t xml:space="preserve">, </t>
    </r>
    <r>
      <rPr>
        <sz val="12"/>
        <color theme="1"/>
        <rFont val="新細明體"/>
        <family val="2"/>
        <charset val="136"/>
      </rPr>
      <t>挖去中間的籽</t>
    </r>
    <r>
      <rPr>
        <sz val="12"/>
        <color theme="1"/>
        <rFont val="Calibri"/>
        <family val="2"/>
      </rPr>
      <t xml:space="preserve">, </t>
    </r>
    <r>
      <rPr>
        <sz val="12"/>
        <color theme="1"/>
        <rFont val="新細明體"/>
        <family val="2"/>
        <charset val="136"/>
      </rPr>
      <t>做成木瓜盅</t>
    </r>
    <phoneticPr fontId="2" type="noConversion"/>
  </si>
  <si>
    <t>紫薯</t>
  </si>
  <si>
    <t>紫薯</t>
    <phoneticPr fontId="2" type="noConversion"/>
  </si>
  <si>
    <t>淡忌廉</t>
  </si>
  <si>
    <t>淡忌廉</t>
    <phoneticPr fontId="2" type="noConversion"/>
  </si>
  <si>
    <t>牛奶</t>
  </si>
  <si>
    <t>牛奶</t>
    <phoneticPr fontId="2" type="noConversion"/>
  </si>
  <si>
    <t>蒟蒻粉</t>
  </si>
  <si>
    <t>蒟蒻粉</t>
    <phoneticPr fontId="2" type="noConversion"/>
  </si>
  <si>
    <t>湯匙</t>
    <phoneticPr fontId="2" type="noConversion"/>
  </si>
  <si>
    <r>
      <rPr>
        <sz val="12"/>
        <color theme="1"/>
        <rFont val="細明體"/>
        <family val="2"/>
        <charset val="136"/>
      </rPr>
      <t>紫心薯蒸熟去皮</t>
    </r>
    <r>
      <rPr>
        <sz val="12"/>
        <color theme="1"/>
        <rFont val="Calibri"/>
        <family val="2"/>
      </rPr>
      <t>,</t>
    </r>
    <r>
      <rPr>
        <sz val="12"/>
        <color theme="1"/>
        <rFont val="細明體"/>
        <family val="2"/>
        <charset val="136"/>
      </rPr>
      <t>用刀壓成泥</t>
    </r>
    <phoneticPr fontId="2" type="noConversion"/>
  </si>
  <si>
    <r>
      <rPr>
        <sz val="12"/>
        <color theme="1"/>
        <rFont val="細明體"/>
        <family val="2"/>
        <charset val="136"/>
      </rPr>
      <t>餘下的牛奶和忌廉放入煲內用細火加熱</t>
    </r>
    <r>
      <rPr>
        <sz val="12"/>
        <color theme="1"/>
        <rFont val="Calibri"/>
        <family val="2"/>
      </rPr>
      <t>,</t>
    </r>
    <r>
      <rPr>
        <sz val="12"/>
        <color theme="1"/>
        <rFont val="細明體"/>
        <family val="2"/>
        <charset val="136"/>
      </rPr>
      <t>再加入糖和蒟蒻粉</t>
    </r>
    <r>
      <rPr>
        <sz val="12"/>
        <color theme="1"/>
        <rFont val="Calibri"/>
        <family val="2"/>
      </rPr>
      <t>,</t>
    </r>
    <r>
      <rPr>
        <sz val="12"/>
        <color theme="1"/>
        <rFont val="細明體"/>
        <family val="2"/>
        <charset val="136"/>
      </rPr>
      <t>慢慢攪拌直至完全溶化</t>
    </r>
    <phoneticPr fontId="2" type="noConversion"/>
  </si>
  <si>
    <t>布包豆腐</t>
  </si>
  <si>
    <t>布包豆腐</t>
    <phoneticPr fontId="2" type="noConversion"/>
  </si>
  <si>
    <t>白菌</t>
  </si>
  <si>
    <t>白菌</t>
    <phoneticPr fontId="2" type="noConversion"/>
  </si>
  <si>
    <t>咖喱粉</t>
  </si>
  <si>
    <t>咖喱粉</t>
    <phoneticPr fontId="2" type="noConversion"/>
  </si>
  <si>
    <t>黃薑粉</t>
  </si>
  <si>
    <t>黃薑粉</t>
    <phoneticPr fontId="2" type="noConversion"/>
  </si>
  <si>
    <t>上湯</t>
  </si>
  <si>
    <t>上湯</t>
    <phoneticPr fontId="2" type="noConversion"/>
  </si>
  <si>
    <t>白飯</t>
  </si>
  <si>
    <t>白飯</t>
    <phoneticPr fontId="2" type="noConversion"/>
  </si>
  <si>
    <t>芝士</t>
  </si>
  <si>
    <t>芝士</t>
    <phoneticPr fontId="2" type="noConversion"/>
  </si>
  <si>
    <t>牛油</t>
  </si>
  <si>
    <t>牛油</t>
    <phoneticPr fontId="2" type="noConversion"/>
  </si>
  <si>
    <t>忌廉</t>
  </si>
  <si>
    <t>忌廉</t>
    <phoneticPr fontId="2" type="noConversion"/>
  </si>
  <si>
    <t>蕃茄</t>
  </si>
  <si>
    <t>蕃茄</t>
    <phoneticPr fontId="2" type="noConversion"/>
  </si>
  <si>
    <t>薯仔</t>
  </si>
  <si>
    <t>薯仔</t>
    <phoneticPr fontId="2" type="noConversion"/>
  </si>
  <si>
    <t>紅蘿蔔</t>
  </si>
  <si>
    <t>紅蘿蔔</t>
    <phoneticPr fontId="2" type="noConversion"/>
  </si>
  <si>
    <t>蘑菇</t>
  </si>
  <si>
    <t>蘑菇</t>
    <phoneticPr fontId="2" type="noConversion"/>
  </si>
  <si>
    <t>胡椒粉</t>
  </si>
  <si>
    <t>胡椒粉</t>
    <phoneticPr fontId="2" type="noConversion"/>
  </si>
  <si>
    <t>蕃茄膏</t>
  </si>
  <si>
    <t>蕃茄膏</t>
    <phoneticPr fontId="2" type="noConversion"/>
  </si>
  <si>
    <t>條</t>
    <phoneticPr fontId="2" type="noConversion"/>
  </si>
  <si>
    <t>餐包</t>
  </si>
  <si>
    <t>餐包</t>
    <phoneticPr fontId="2" type="noConversion"/>
  </si>
  <si>
    <t>西蘭花</t>
  </si>
  <si>
    <t>西蘭花</t>
    <phoneticPr fontId="2" type="noConversion"/>
  </si>
  <si>
    <t>沙律醬</t>
  </si>
  <si>
    <t>沙律醬</t>
    <phoneticPr fontId="2" type="noConversion"/>
  </si>
  <si>
    <t>芥末</t>
  </si>
  <si>
    <t>芥末</t>
    <phoneticPr fontId="2" type="noConversion"/>
  </si>
  <si>
    <t>蜜糖</t>
  </si>
  <si>
    <t>蜜糖</t>
    <phoneticPr fontId="2" type="noConversion"/>
  </si>
  <si>
    <t>completed</t>
    <phoneticPr fontId="2" type="noConversion"/>
  </si>
  <si>
    <t>食材</t>
  </si>
  <si>
    <t>調味</t>
  </si>
  <si>
    <t>免治肉</t>
  </si>
  <si>
    <t>豆腐</t>
  </si>
  <si>
    <t>榨菜</t>
  </si>
  <si>
    <t>薑蓉</t>
  </si>
  <si>
    <t>蒜蓉</t>
  </si>
  <si>
    <t>蒜蓉</t>
    <phoneticPr fontId="2" type="noConversion"/>
  </si>
  <si>
    <t>豆豉</t>
  </si>
  <si>
    <t>黑胡椒</t>
  </si>
  <si>
    <t>辣豆瓣醬</t>
  </si>
  <si>
    <t>老抽</t>
  </si>
  <si>
    <t>麻油</t>
  </si>
  <si>
    <t>花椒油</t>
  </si>
  <si>
    <t>花椒油</t>
    <phoneticPr fontId="2" type="noConversion"/>
  </si>
  <si>
    <t>雞粉</t>
  </si>
  <si>
    <t>雞粉</t>
    <phoneticPr fontId="2" type="noConversion"/>
  </si>
  <si>
    <t>茄子</t>
  </si>
  <si>
    <t>葱</t>
  </si>
  <si>
    <t>椰菜</t>
    <phoneticPr fontId="2" type="noConversion"/>
  </si>
  <si>
    <t>g</t>
  </si>
  <si>
    <t>茶匙</t>
  </si>
  <si>
    <t>適量</t>
  </si>
  <si>
    <t xml:space="preserve"> - </t>
  </si>
  <si>
    <t>裝飾</t>
  </si>
  <si>
    <t>湯匙</t>
  </si>
  <si>
    <t>沸水焯豆腐 1 分鐘去味。</t>
  </si>
  <si>
    <r>
      <rPr>
        <sz val="12"/>
        <color theme="1"/>
        <rFont val="微軟正黑體"/>
        <family val="2"/>
        <charset val="136"/>
      </rPr>
      <t>盛起肉待用。留油，下花椒油、辣豆瓣醬</t>
    </r>
    <r>
      <rPr>
        <sz val="12"/>
        <color theme="1"/>
        <rFont val="Calibri"/>
        <family val="2"/>
      </rPr>
      <t xml:space="preserve"> ,</t>
    </r>
    <r>
      <rPr>
        <sz val="12"/>
        <color theme="1"/>
        <rFont val="微軟正黑體"/>
        <family val="2"/>
        <charset val="136"/>
      </rPr>
      <t>再落薑蓉、蒜蓉。</t>
    </r>
    <phoneticPr fontId="2" type="noConversion"/>
  </si>
  <si>
    <r>
      <rPr>
        <sz val="12"/>
        <color theme="1"/>
        <rFont val="細明體"/>
        <family val="2"/>
        <charset val="136"/>
      </rPr>
      <t>加入椰菜</t>
    </r>
    <r>
      <rPr>
        <sz val="12"/>
        <color theme="1"/>
        <rFont val="Calibri"/>
        <family val="2"/>
      </rPr>
      <t>,</t>
    </r>
    <r>
      <rPr>
        <sz val="12"/>
        <color theme="1"/>
        <rFont val="細明體"/>
        <family val="2"/>
        <charset val="136"/>
      </rPr>
      <t>蕃茄膏</t>
    </r>
    <r>
      <rPr>
        <sz val="12"/>
        <color theme="1"/>
        <rFont val="Calibri"/>
        <family val="2"/>
      </rPr>
      <t xml:space="preserve">, </t>
    </r>
    <r>
      <rPr>
        <sz val="12"/>
        <color theme="1"/>
        <rFont val="細明體"/>
        <family val="2"/>
        <charset val="136"/>
      </rPr>
      <t>上湯</t>
    </r>
    <r>
      <rPr>
        <sz val="12"/>
        <color theme="1"/>
        <rFont val="Calibri"/>
        <family val="2"/>
      </rPr>
      <t xml:space="preserve">, </t>
    </r>
    <r>
      <rPr>
        <sz val="12"/>
        <color theme="1"/>
        <rFont val="細明體"/>
        <family val="2"/>
        <charset val="136"/>
      </rPr>
      <t>以中火煮滾後改以小火煮</t>
    </r>
    <r>
      <rPr>
        <sz val="12"/>
        <color theme="1"/>
        <rFont val="Calibri"/>
        <family val="2"/>
      </rPr>
      <t>50</t>
    </r>
    <r>
      <rPr>
        <sz val="12"/>
        <color theme="1"/>
        <rFont val="細明體"/>
        <family val="2"/>
        <charset val="136"/>
      </rPr>
      <t>分鐘</t>
    </r>
    <r>
      <rPr>
        <sz val="12"/>
        <color theme="1"/>
        <rFont val="Calibri"/>
        <family val="2"/>
      </rPr>
      <t xml:space="preserve">, </t>
    </r>
    <r>
      <rPr>
        <sz val="12"/>
        <color theme="1"/>
        <rFont val="細明體"/>
        <family val="2"/>
        <charset val="136"/>
      </rPr>
      <t>煮後加入糖和胡椒粉即可</t>
    </r>
    <phoneticPr fontId="2" type="noConversion"/>
  </si>
  <si>
    <r>
      <rPr>
        <sz val="12"/>
        <color theme="1"/>
        <rFont val="細明體"/>
        <family val="2"/>
        <charset val="136"/>
      </rPr>
      <t>煮熟雞蛋後切碎</t>
    </r>
    <r>
      <rPr>
        <sz val="12"/>
        <color theme="1"/>
        <rFont val="Calibri"/>
        <family val="2"/>
      </rPr>
      <t xml:space="preserve">, </t>
    </r>
    <r>
      <rPr>
        <sz val="12"/>
        <color theme="1"/>
        <rFont val="細明體"/>
        <family val="2"/>
        <charset val="136"/>
      </rPr>
      <t>焯熟西蘭花</t>
    </r>
    <r>
      <rPr>
        <sz val="12"/>
        <color theme="1"/>
        <rFont val="Calibri"/>
        <family val="2"/>
      </rPr>
      <t>,</t>
    </r>
    <r>
      <rPr>
        <sz val="12"/>
        <color theme="1"/>
        <rFont val="細明體"/>
        <family val="2"/>
        <charset val="136"/>
      </rPr>
      <t>紅蘿蔔切碎</t>
    </r>
    <r>
      <rPr>
        <sz val="12"/>
        <color theme="1"/>
        <rFont val="Calibri"/>
        <family val="2"/>
      </rPr>
      <t xml:space="preserve">, </t>
    </r>
    <r>
      <rPr>
        <sz val="12"/>
        <color theme="1"/>
        <rFont val="細明體"/>
        <family val="2"/>
        <charset val="136"/>
      </rPr>
      <t>加少許鹽將醬料拌勻</t>
    </r>
    <phoneticPr fontId="2" type="noConversion"/>
  </si>
  <si>
    <r>
      <rPr>
        <sz val="12"/>
        <color theme="1"/>
        <rFont val="細明體"/>
        <family val="2"/>
        <charset val="136"/>
      </rPr>
      <t>薯仔去皮切薄片蒸熟</t>
    </r>
    <r>
      <rPr>
        <sz val="12"/>
        <color theme="1"/>
        <rFont val="Calibri"/>
        <family val="2"/>
      </rPr>
      <t xml:space="preserve">, </t>
    </r>
    <r>
      <rPr>
        <sz val="12"/>
        <color theme="1"/>
        <rFont val="細明體"/>
        <family val="2"/>
        <charset val="136"/>
      </rPr>
      <t>壓成蓉</t>
    </r>
    <r>
      <rPr>
        <sz val="12"/>
        <color theme="1"/>
        <rFont val="Calibri"/>
        <family val="2"/>
      </rPr>
      <t>,</t>
    </r>
    <r>
      <rPr>
        <sz val="12"/>
        <color theme="1"/>
        <rFont val="細明體"/>
        <family val="2"/>
        <charset val="136"/>
      </rPr>
      <t>放入雞蛋碎</t>
    </r>
    <r>
      <rPr>
        <sz val="12"/>
        <color theme="1"/>
        <rFont val="Calibri"/>
        <family val="2"/>
      </rPr>
      <t xml:space="preserve">, </t>
    </r>
    <r>
      <rPr>
        <sz val="12"/>
        <color theme="1"/>
        <rFont val="細明體"/>
        <family val="2"/>
        <charset val="136"/>
      </rPr>
      <t>西蘭花</t>
    </r>
    <r>
      <rPr>
        <sz val="12"/>
        <color theme="1"/>
        <rFont val="Calibri"/>
        <family val="2"/>
      </rPr>
      <t xml:space="preserve">, </t>
    </r>
    <r>
      <rPr>
        <sz val="12"/>
        <color theme="1"/>
        <rFont val="細明體"/>
        <family val="2"/>
        <charset val="136"/>
      </rPr>
      <t>紅蘿蔔及醬料</t>
    </r>
    <phoneticPr fontId="2" type="noConversion"/>
  </si>
  <si>
    <r>
      <rPr>
        <sz val="12"/>
        <color theme="1"/>
        <rFont val="細明體"/>
        <family val="2"/>
        <charset val="136"/>
      </rPr>
      <t>放入己切開的餐包內即成</t>
    </r>
    <phoneticPr fontId="2" type="noConversion"/>
  </si>
  <si>
    <r>
      <rPr>
        <sz val="12"/>
        <color theme="1"/>
        <rFont val="細明體"/>
        <family val="2"/>
        <charset val="136"/>
      </rPr>
      <t>把椰青水和椰漿</t>
    </r>
    <r>
      <rPr>
        <sz val="12"/>
        <color theme="1"/>
        <rFont val="Calibri"/>
        <family val="2"/>
      </rPr>
      <t xml:space="preserve">, </t>
    </r>
    <r>
      <rPr>
        <sz val="12"/>
        <color theme="1"/>
        <rFont val="細明體"/>
        <family val="2"/>
        <charset val="136"/>
      </rPr>
      <t>牛奶及糖攪勻</t>
    </r>
    <r>
      <rPr>
        <sz val="12"/>
        <color theme="1"/>
        <rFont val="Calibri"/>
        <family val="2"/>
      </rPr>
      <t>,</t>
    </r>
    <r>
      <rPr>
        <sz val="12"/>
        <color theme="1"/>
        <rFont val="細明體"/>
        <family val="2"/>
        <charset val="136"/>
      </rPr>
      <t>加入大菜粉</t>
    </r>
    <r>
      <rPr>
        <sz val="12"/>
        <color theme="1"/>
        <rFont val="Calibri"/>
        <family val="2"/>
      </rPr>
      <t xml:space="preserve">, </t>
    </r>
    <r>
      <rPr>
        <sz val="12"/>
        <color theme="1"/>
        <rFont val="細明體"/>
        <family val="2"/>
        <charset val="136"/>
      </rPr>
      <t>煮至糖溶化後放涼</t>
    </r>
    <phoneticPr fontId="2" type="noConversion"/>
  </si>
  <si>
    <r>
      <rPr>
        <sz val="12"/>
        <color theme="1"/>
        <rFont val="細明體"/>
        <family val="2"/>
        <charset val="136"/>
      </rPr>
      <t>倒入木瓜盅內</t>
    </r>
    <r>
      <rPr>
        <sz val="12"/>
        <color theme="1"/>
        <rFont val="Calibri"/>
        <family val="2"/>
      </rPr>
      <t xml:space="preserve">, </t>
    </r>
    <r>
      <rPr>
        <sz val="12"/>
        <color theme="1"/>
        <rFont val="細明體"/>
        <family val="2"/>
        <charset val="136"/>
      </rPr>
      <t>放入雪櫃冷藏至凝結</t>
    </r>
    <phoneticPr fontId="2" type="noConversion"/>
  </si>
  <si>
    <r>
      <rPr>
        <sz val="12"/>
        <color theme="1"/>
        <rFont val="細明體"/>
        <family val="2"/>
        <charset val="136"/>
      </rPr>
      <t>食時切成小塊即可</t>
    </r>
    <phoneticPr fontId="2" type="noConversion"/>
  </si>
  <si>
    <r>
      <rPr>
        <sz val="12"/>
        <color theme="1"/>
        <rFont val="細明體"/>
        <family val="2"/>
        <charset val="136"/>
      </rPr>
      <t>把</t>
    </r>
    <r>
      <rPr>
        <sz val="12"/>
        <color theme="1"/>
        <rFont val="Calibri"/>
        <family val="2"/>
      </rPr>
      <t>150ML</t>
    </r>
    <r>
      <rPr>
        <sz val="12"/>
        <color theme="1"/>
        <rFont val="細明體"/>
        <family val="2"/>
        <charset val="136"/>
      </rPr>
      <t>牛奶加入紫薯泥中</t>
    </r>
    <r>
      <rPr>
        <sz val="12"/>
        <color theme="1"/>
        <rFont val="Calibri"/>
        <family val="2"/>
      </rPr>
      <t>,</t>
    </r>
    <r>
      <rPr>
        <sz val="12"/>
        <color theme="1"/>
        <rFont val="細明體"/>
        <family val="2"/>
        <charset val="136"/>
      </rPr>
      <t>放入攪拌機攪勻</t>
    </r>
    <phoneticPr fontId="2" type="noConversion"/>
  </si>
  <si>
    <r>
      <rPr>
        <sz val="12"/>
        <color theme="1"/>
        <rFont val="細明體"/>
        <family val="2"/>
        <charset val="136"/>
      </rPr>
      <t>溶化後逐少倒進紫薯泥內</t>
    </r>
    <r>
      <rPr>
        <sz val="12"/>
        <color theme="1"/>
        <rFont val="Calibri"/>
        <family val="2"/>
      </rPr>
      <t>,</t>
    </r>
    <r>
      <rPr>
        <sz val="12"/>
        <color theme="1"/>
        <rFont val="細明體"/>
        <family val="2"/>
        <charset val="136"/>
      </rPr>
      <t>直至均勻</t>
    </r>
    <phoneticPr fontId="2" type="noConversion"/>
  </si>
  <si>
    <r>
      <rPr>
        <sz val="12"/>
        <color theme="1"/>
        <rFont val="細明體"/>
        <family val="2"/>
        <charset val="136"/>
      </rPr>
      <t>最後倒進布甸杯內</t>
    </r>
    <r>
      <rPr>
        <sz val="12"/>
        <color theme="1"/>
        <rFont val="Calibri"/>
        <family val="2"/>
      </rPr>
      <t>,</t>
    </r>
    <r>
      <rPr>
        <sz val="12"/>
        <color theme="1"/>
        <rFont val="細明體"/>
        <family val="2"/>
        <charset val="136"/>
      </rPr>
      <t>合上蓋子放在雪櫃裡冷藏至凝固即可</t>
    </r>
    <phoneticPr fontId="2" type="noConversion"/>
  </si>
  <si>
    <r>
      <rPr>
        <sz val="12"/>
        <color theme="1"/>
        <rFont val="細明體"/>
        <family val="2"/>
        <charset val="136"/>
      </rPr>
      <t>豆腐切方塊</t>
    </r>
    <r>
      <rPr>
        <sz val="12"/>
        <color theme="1"/>
        <rFont val="Calibri"/>
        <family val="2"/>
      </rPr>
      <t xml:space="preserve">, </t>
    </r>
    <r>
      <rPr>
        <sz val="12"/>
        <color theme="1"/>
        <rFont val="細明體"/>
        <family val="2"/>
        <charset val="136"/>
      </rPr>
      <t>炸至金黃色盛起備用</t>
    </r>
    <phoneticPr fontId="2" type="noConversion"/>
  </si>
  <si>
    <r>
      <rPr>
        <sz val="12"/>
        <color theme="1"/>
        <rFont val="細明體"/>
        <family val="2"/>
        <charset val="136"/>
      </rPr>
      <t>用中火燒熱鑊</t>
    </r>
    <r>
      <rPr>
        <sz val="12"/>
        <color theme="1"/>
        <rFont val="Calibri"/>
        <family val="2"/>
      </rPr>
      <t>,</t>
    </r>
    <r>
      <rPr>
        <sz val="12"/>
        <color theme="1"/>
        <rFont val="細明體"/>
        <family val="2"/>
        <charset val="136"/>
      </rPr>
      <t>下牛油</t>
    </r>
    <r>
      <rPr>
        <sz val="12"/>
        <color theme="1"/>
        <rFont val="Calibri"/>
        <family val="2"/>
      </rPr>
      <t xml:space="preserve">, </t>
    </r>
    <r>
      <rPr>
        <sz val="12"/>
        <color theme="1"/>
        <rFont val="細明體"/>
        <family val="2"/>
        <charset val="136"/>
      </rPr>
      <t>待溶後加黃薑粉和咖喱粉炒香</t>
    </r>
    <r>
      <rPr>
        <sz val="12"/>
        <color theme="1"/>
        <rFont val="Calibri"/>
        <family val="2"/>
      </rPr>
      <t>,</t>
    </r>
    <r>
      <rPr>
        <sz val="12"/>
        <color theme="1"/>
        <rFont val="細明體"/>
        <family val="2"/>
        <charset val="136"/>
      </rPr>
      <t>加入上湯</t>
    </r>
    <r>
      <rPr>
        <sz val="12"/>
        <color theme="1"/>
        <rFont val="Calibri"/>
        <family val="2"/>
      </rPr>
      <t>,</t>
    </r>
    <r>
      <rPr>
        <sz val="12"/>
        <color theme="1"/>
        <rFont val="細明體"/>
        <family val="2"/>
        <charset val="136"/>
      </rPr>
      <t>滾後加奶和忌廉</t>
    </r>
    <r>
      <rPr>
        <sz val="12"/>
        <color theme="1"/>
        <rFont val="Calibri"/>
        <family val="2"/>
      </rPr>
      <t>,</t>
    </r>
    <r>
      <rPr>
        <sz val="12"/>
        <color theme="1"/>
        <rFont val="細明體"/>
        <family val="2"/>
        <charset val="136"/>
      </rPr>
      <t>下鹽糖調味</t>
    </r>
    <phoneticPr fontId="2" type="noConversion"/>
  </si>
  <si>
    <r>
      <rPr>
        <sz val="12"/>
        <color theme="1"/>
        <rFont val="細明體"/>
        <family val="2"/>
        <charset val="136"/>
      </rPr>
      <t>最後加入豆腐</t>
    </r>
    <r>
      <rPr>
        <sz val="12"/>
        <color theme="1"/>
        <rFont val="Calibri"/>
        <family val="2"/>
      </rPr>
      <t>,</t>
    </r>
    <r>
      <rPr>
        <sz val="12"/>
        <color theme="1"/>
        <rFont val="細明體"/>
        <family val="2"/>
        <charset val="136"/>
      </rPr>
      <t>切片白菌及椰漿</t>
    </r>
    <r>
      <rPr>
        <sz val="12"/>
        <color theme="1"/>
        <rFont val="Calibri"/>
        <family val="2"/>
      </rPr>
      <t>,</t>
    </r>
    <r>
      <rPr>
        <sz val="12"/>
        <color theme="1"/>
        <rFont val="細明體"/>
        <family val="2"/>
        <charset val="136"/>
      </rPr>
      <t>再加芡汁煮濃稠一點</t>
    </r>
    <phoneticPr fontId="2" type="noConversion"/>
  </si>
  <si>
    <r>
      <rPr>
        <sz val="12"/>
        <color theme="1"/>
        <rFont val="細明體"/>
        <family val="2"/>
        <charset val="136"/>
      </rPr>
      <t>白飯放在焗碟上</t>
    </r>
    <r>
      <rPr>
        <sz val="12"/>
        <color theme="1"/>
        <rFont val="Calibri"/>
        <family val="2"/>
      </rPr>
      <t>,</t>
    </r>
    <r>
      <rPr>
        <sz val="12"/>
        <color theme="1"/>
        <rFont val="細明體"/>
        <family val="2"/>
        <charset val="136"/>
      </rPr>
      <t>再將煮好的豆腐淋在飯面</t>
    </r>
    <r>
      <rPr>
        <sz val="12"/>
        <color theme="1"/>
        <rFont val="Calibri"/>
        <family val="2"/>
      </rPr>
      <t>,</t>
    </r>
    <r>
      <rPr>
        <sz val="12"/>
        <color theme="1"/>
        <rFont val="細明體"/>
        <family val="2"/>
        <charset val="136"/>
      </rPr>
      <t>再灑點芝士</t>
    </r>
    <phoneticPr fontId="2" type="noConversion"/>
  </si>
  <si>
    <r>
      <rPr>
        <sz val="12"/>
        <color theme="1"/>
        <rFont val="細明體"/>
        <family val="2"/>
        <charset val="136"/>
      </rPr>
      <t>預熱焗爐二百度</t>
    </r>
    <r>
      <rPr>
        <sz val="12"/>
        <color theme="1"/>
        <rFont val="Calibri"/>
        <family val="2"/>
      </rPr>
      <t>,</t>
    </r>
    <r>
      <rPr>
        <sz val="12"/>
        <color theme="1"/>
        <rFont val="細明體"/>
        <family val="2"/>
        <charset val="136"/>
      </rPr>
      <t>焗約</t>
    </r>
    <r>
      <rPr>
        <sz val="12"/>
        <color theme="1"/>
        <rFont val="Calibri"/>
        <family val="2"/>
      </rPr>
      <t>5-8</t>
    </r>
    <r>
      <rPr>
        <sz val="12"/>
        <color theme="1"/>
        <rFont val="細明體"/>
        <family val="2"/>
        <charset val="136"/>
      </rPr>
      <t>分鐘即成</t>
    </r>
    <phoneticPr fontId="2" type="noConversion"/>
  </si>
  <si>
    <r>
      <rPr>
        <sz val="12"/>
        <color theme="1"/>
        <rFont val="細明體"/>
        <family val="2"/>
        <charset val="136"/>
      </rPr>
      <t>煮沸水後</t>
    </r>
    <r>
      <rPr>
        <sz val="12"/>
        <color theme="1"/>
        <rFont val="Calibri"/>
        <family val="2"/>
      </rPr>
      <t xml:space="preserve">, </t>
    </r>
    <r>
      <rPr>
        <sz val="12"/>
        <color theme="1"/>
        <rFont val="細明體"/>
        <family val="2"/>
        <charset val="136"/>
      </rPr>
      <t>放入切粒薯仔</t>
    </r>
    <r>
      <rPr>
        <sz val="12"/>
        <color theme="1"/>
        <rFont val="Calibri"/>
        <family val="2"/>
      </rPr>
      <t>,</t>
    </r>
    <r>
      <rPr>
        <sz val="12"/>
        <color theme="1"/>
        <rFont val="細明體"/>
        <family val="2"/>
        <charset val="136"/>
      </rPr>
      <t>切粒紅蘿蔔</t>
    </r>
    <r>
      <rPr>
        <sz val="12"/>
        <color theme="1"/>
        <rFont val="Calibri"/>
        <family val="2"/>
      </rPr>
      <t>,</t>
    </r>
    <r>
      <rPr>
        <sz val="12"/>
        <color theme="1"/>
        <rFont val="細明體"/>
        <family val="2"/>
        <charset val="136"/>
      </rPr>
      <t>去皮切粒蕃茄</t>
    </r>
    <r>
      <rPr>
        <sz val="12"/>
        <color theme="1"/>
        <rFont val="Calibri"/>
        <family val="2"/>
      </rPr>
      <t>,</t>
    </r>
    <r>
      <rPr>
        <sz val="12"/>
        <color theme="1"/>
        <rFont val="細明體"/>
        <family val="2"/>
        <charset val="136"/>
      </rPr>
      <t>中火熬煮</t>
    </r>
    <phoneticPr fontId="2" type="noConversion"/>
  </si>
  <si>
    <r>
      <rPr>
        <sz val="12"/>
        <color theme="1"/>
        <rFont val="細明體"/>
        <family val="2"/>
        <charset val="136"/>
      </rPr>
      <t>用平底鍋煮溶牛油</t>
    </r>
    <r>
      <rPr>
        <sz val="12"/>
        <color theme="1"/>
        <rFont val="Calibri"/>
        <family val="2"/>
      </rPr>
      <t>,</t>
    </r>
    <r>
      <rPr>
        <sz val="12"/>
        <color theme="1"/>
        <rFont val="細明體"/>
        <family val="2"/>
        <charset val="136"/>
      </rPr>
      <t>放入切薄片蘑菇炒熟</t>
    </r>
    <phoneticPr fontId="2" type="noConversion"/>
  </si>
  <si>
    <r>
      <rPr>
        <sz val="12"/>
        <color theme="1"/>
        <rFont val="細明體"/>
        <family val="2"/>
        <charset val="136"/>
      </rPr>
      <t>把炒熟的蘑菇放入湯鍋裡</t>
    </r>
    <phoneticPr fontId="2" type="noConversion"/>
  </si>
  <si>
    <r>
      <rPr>
        <sz val="12"/>
        <color theme="1"/>
        <rFont val="微軟正黑體"/>
        <family val="2"/>
        <charset val="136"/>
      </rPr>
      <t>下老抽，放入豆腐，小火煮</t>
    </r>
    <r>
      <rPr>
        <sz val="12"/>
        <color theme="1"/>
        <rFont val="Calibri"/>
        <family val="2"/>
      </rPr>
      <t xml:space="preserve"> 3 </t>
    </r>
    <r>
      <rPr>
        <sz val="12"/>
        <color theme="1"/>
        <rFont val="微軟正黑體"/>
        <family val="2"/>
        <charset val="136"/>
      </rPr>
      <t>分鐘。</t>
    </r>
    <phoneticPr fontId="2" type="noConversion"/>
  </si>
  <si>
    <r>
      <rPr>
        <sz val="12"/>
        <color theme="1"/>
        <rFont val="微軟正黑體"/>
        <family val="2"/>
        <charset val="136"/>
      </rPr>
      <t>下生粉水，加葱花煮</t>
    </r>
    <r>
      <rPr>
        <sz val="12"/>
        <color theme="1"/>
        <rFont val="Calibri"/>
        <family val="2"/>
      </rPr>
      <t xml:space="preserve"> 30 </t>
    </r>
    <r>
      <rPr>
        <sz val="12"/>
        <color theme="1"/>
        <rFont val="微軟正黑體"/>
        <family val="2"/>
        <charset val="136"/>
      </rPr>
      <t>秒及麻油半茶匙。</t>
    </r>
    <phoneticPr fontId="2" type="noConversion"/>
  </si>
  <si>
    <t>茄子</t>
    <phoneticPr fontId="2" type="noConversion"/>
  </si>
  <si>
    <r>
      <rPr>
        <sz val="12"/>
        <color theme="1"/>
        <rFont val="細明體"/>
        <family val="2"/>
        <charset val="136"/>
      </rPr>
      <t>湯匙</t>
    </r>
    <phoneticPr fontId="2" type="noConversion"/>
  </si>
  <si>
    <r>
      <rPr>
        <sz val="12"/>
        <color theme="1"/>
        <rFont val="細明體"/>
        <family val="2"/>
        <charset val="136"/>
      </rPr>
      <t>件</t>
    </r>
    <phoneticPr fontId="2" type="noConversion"/>
  </si>
  <si>
    <r>
      <rPr>
        <sz val="12"/>
        <color theme="1"/>
        <rFont val="細明體"/>
        <family val="2"/>
        <charset val="136"/>
      </rPr>
      <t>杯</t>
    </r>
    <phoneticPr fontId="2" type="noConversion"/>
  </si>
  <si>
    <r>
      <rPr>
        <sz val="12"/>
        <color theme="1"/>
        <rFont val="細明體"/>
        <family val="2"/>
        <charset val="136"/>
      </rPr>
      <t>茶匙</t>
    </r>
    <phoneticPr fontId="2" type="noConversion"/>
  </si>
  <si>
    <r>
      <rPr>
        <sz val="12"/>
        <color theme="1"/>
        <rFont val="細明體"/>
        <family val="2"/>
        <charset val="136"/>
      </rPr>
      <t>少許</t>
    </r>
    <phoneticPr fontId="2" type="noConversion"/>
  </si>
  <si>
    <r>
      <rPr>
        <sz val="12"/>
        <color theme="1"/>
        <rFont val="細明體"/>
        <family val="2"/>
        <charset val="136"/>
      </rPr>
      <t>芡汁</t>
    </r>
    <phoneticPr fontId="2" type="noConversion"/>
  </si>
  <si>
    <r>
      <rPr>
        <sz val="12"/>
        <color theme="1"/>
        <rFont val="細明體"/>
        <family val="2"/>
        <charset val="136"/>
      </rPr>
      <t>個</t>
    </r>
    <phoneticPr fontId="2" type="noConversion"/>
  </si>
  <si>
    <r>
      <rPr>
        <sz val="12"/>
        <color theme="1"/>
        <rFont val="細明體"/>
        <family val="2"/>
        <charset val="136"/>
      </rPr>
      <t>條</t>
    </r>
    <phoneticPr fontId="2" type="noConversion"/>
  </si>
  <si>
    <r>
      <rPr>
        <sz val="12"/>
        <color theme="1"/>
        <rFont val="細明體"/>
        <family val="2"/>
        <charset val="136"/>
      </rPr>
      <t>碗</t>
    </r>
    <phoneticPr fontId="2" type="noConversion"/>
  </si>
  <si>
    <r>
      <rPr>
        <sz val="12"/>
        <color theme="1"/>
        <rFont val="細明體"/>
        <family val="2"/>
        <charset val="136"/>
      </rPr>
      <t>隻</t>
    </r>
    <phoneticPr fontId="2" type="noConversion"/>
  </si>
  <si>
    <r>
      <rPr>
        <sz val="12"/>
        <color theme="1"/>
        <rFont val="細明體"/>
        <family val="2"/>
        <charset val="136"/>
      </rPr>
      <t>醬料</t>
    </r>
    <phoneticPr fontId="2" type="noConversion"/>
  </si>
  <si>
    <r>
      <rPr>
        <sz val="12"/>
        <color theme="1"/>
        <rFont val="新細明體"/>
        <family val="2"/>
        <charset val="136"/>
      </rPr>
      <t>磚</t>
    </r>
  </si>
  <si>
    <r>
      <rPr>
        <sz val="12"/>
        <color theme="1"/>
        <rFont val="微軟正黑體"/>
        <family val="2"/>
        <charset val="136"/>
      </rPr>
      <t>裝飾</t>
    </r>
    <phoneticPr fontId="2" type="noConversion"/>
  </si>
  <si>
    <r>
      <rPr>
        <sz val="12"/>
        <color theme="1"/>
        <rFont val="新細明體"/>
        <family val="2"/>
        <charset val="136"/>
      </rPr>
      <t>茶匙</t>
    </r>
  </si>
  <si>
    <r>
      <rPr>
        <sz val="12"/>
        <color theme="1"/>
        <rFont val="新細明體"/>
        <family val="2"/>
        <charset val="136"/>
      </rPr>
      <t>杯</t>
    </r>
  </si>
  <si>
    <r>
      <rPr>
        <sz val="12"/>
        <color theme="1"/>
        <rFont val="新細明體"/>
        <family val="2"/>
        <charset val="136"/>
      </rPr>
      <t>適量</t>
    </r>
  </si>
  <si>
    <t>燒熱油，倒入蒜頭碎中拌勻，再鋪在茄子上。</t>
  </si>
  <si>
    <t>水滾後大火蒸 10 分鐘。</t>
  </si>
  <si>
    <t>葱花放上，加鼓油，倒入熱油即成。</t>
  </si>
  <si>
    <r>
      <rPr>
        <sz val="12"/>
        <color theme="1"/>
        <rFont val="微軟正黑體"/>
        <family val="2"/>
        <charset val="136"/>
      </rPr>
      <t>蒜頭碎內加糖</t>
    </r>
    <r>
      <rPr>
        <sz val="12"/>
        <color theme="1"/>
        <rFont val="Calibri"/>
        <family val="2"/>
      </rPr>
      <t xml:space="preserve">, </t>
    </r>
    <r>
      <rPr>
        <sz val="12"/>
        <color theme="1"/>
        <rFont val="微軟正黑體"/>
        <family val="2"/>
        <charset val="136"/>
      </rPr>
      <t>生粉</t>
    </r>
    <r>
      <rPr>
        <sz val="12"/>
        <color theme="1"/>
        <rFont val="Calibri"/>
        <family val="2"/>
      </rPr>
      <t xml:space="preserve">, </t>
    </r>
    <r>
      <rPr>
        <sz val="12"/>
        <color theme="1"/>
        <rFont val="微軟正黑體"/>
        <family val="2"/>
        <charset val="136"/>
      </rPr>
      <t>雞粉，混和。</t>
    </r>
    <phoneticPr fontId="2" type="noConversion"/>
  </si>
  <si>
    <t>皮蛋</t>
  </si>
  <si>
    <t>皮蛋</t>
    <phoneticPr fontId="2" type="noConversion"/>
  </si>
  <si>
    <t>咸蛋</t>
  </si>
  <si>
    <t>咸蛋</t>
    <phoneticPr fontId="2" type="noConversion"/>
  </si>
  <si>
    <t>菠菜</t>
  </si>
  <si>
    <t>菠菜</t>
    <phoneticPr fontId="2" type="noConversion"/>
  </si>
  <si>
    <t>蒜頭</t>
  </si>
  <si>
    <t>蒜頭</t>
    <phoneticPr fontId="2" type="noConversion"/>
  </si>
  <si>
    <t>斤</t>
    <phoneticPr fontId="2" type="noConversion"/>
  </si>
  <si>
    <t>粒</t>
    <phoneticPr fontId="2" type="noConversion"/>
  </si>
  <si>
    <t>咸蛋白、黃分開；皮蛋去殼，切細塊。</t>
    <phoneticPr fontId="2" type="noConversion"/>
  </si>
  <si>
    <r>
      <rPr>
        <sz val="12"/>
        <color theme="1"/>
        <rFont val="微軟正黑體"/>
        <family val="2"/>
        <charset val="136"/>
      </rPr>
      <t>落油</t>
    </r>
    <r>
      <rPr>
        <sz val="12"/>
        <color theme="1"/>
        <rFont val="Calibri"/>
        <family val="2"/>
      </rPr>
      <t>,</t>
    </r>
    <r>
      <rPr>
        <sz val="12"/>
        <color theme="1"/>
        <rFont val="微軟正黑體"/>
        <family val="2"/>
        <charset val="136"/>
      </rPr>
      <t>原隻蒜頭炒香</t>
    </r>
    <r>
      <rPr>
        <sz val="12"/>
        <color theme="1"/>
        <rFont val="Calibri"/>
        <family val="2"/>
      </rPr>
      <t xml:space="preserve">,1 </t>
    </r>
    <r>
      <rPr>
        <sz val="12"/>
        <color theme="1"/>
        <rFont val="細明體"/>
        <family val="2"/>
        <charset val="136"/>
      </rPr>
      <t>分鐘後</t>
    </r>
    <r>
      <rPr>
        <sz val="12"/>
        <color theme="1"/>
        <rFont val="微軟正黑體"/>
        <family val="2"/>
        <charset val="136"/>
      </rPr>
      <t>，落菠菜快炒，倒些少雞湯，盛起菠菜。</t>
    </r>
    <phoneticPr fontId="2" type="noConversion"/>
  </si>
  <si>
    <t>桶蠔</t>
  </si>
  <si>
    <t>桶蠔</t>
    <phoneticPr fontId="2" type="noConversion"/>
  </si>
  <si>
    <t>薑</t>
  </si>
  <si>
    <t>薑</t>
    <phoneticPr fontId="2" type="noConversion"/>
  </si>
  <si>
    <t>蠔油</t>
  </si>
  <si>
    <t>蠔油</t>
    <phoneticPr fontId="2" type="noConversion"/>
  </si>
  <si>
    <t>紹興酒</t>
  </si>
  <si>
    <t>紹興酒</t>
    <phoneticPr fontId="2" type="noConversion"/>
  </si>
  <si>
    <t>桶</t>
    <phoneticPr fontId="2" type="noConversion"/>
  </si>
  <si>
    <t>片</t>
    <phoneticPr fontId="2" type="noConversion"/>
  </si>
  <si>
    <t>葱切段（葱白跟葱綠色部份分開），薑切片備用。</t>
    <phoneticPr fontId="2" type="noConversion"/>
  </si>
  <si>
    <t>雞翼</t>
  </si>
  <si>
    <t>雞翼</t>
    <phoneticPr fontId="2" type="noConversion"/>
  </si>
  <si>
    <t>黑芝麻</t>
  </si>
  <si>
    <t>黑芝麻</t>
    <phoneticPr fontId="2" type="noConversion"/>
  </si>
  <si>
    <t>蒜鹽</t>
  </si>
  <si>
    <t>蒜鹽</t>
    <phoneticPr fontId="2" type="noConversion"/>
  </si>
  <si>
    <t>孜然粉</t>
  </si>
  <si>
    <t>孜然粉</t>
    <phoneticPr fontId="2" type="noConversion"/>
  </si>
  <si>
    <t>五香粉</t>
  </si>
  <si>
    <t>五香粉</t>
    <phoneticPr fontId="2" type="noConversion"/>
  </si>
  <si>
    <t>生抽</t>
  </si>
  <si>
    <t>生抽</t>
    <phoneticPr fontId="2" type="noConversion"/>
  </si>
  <si>
    <t>磅</t>
    <phoneticPr fontId="2" type="noConversion"/>
  </si>
  <si>
    <t>洗淨雞翼, 抺乾, 加調味料醃幾小時</t>
    <phoneticPr fontId="2" type="noConversion"/>
  </si>
  <si>
    <t>將雞翼排放在氣炸鍋籃中，表面噴少許油。</t>
  </si>
  <si>
    <t>打開氣炸鍋將雞翼翻面</t>
    <phoneticPr fontId="2" type="noConversion"/>
  </si>
  <si>
    <r>
      <rPr>
        <sz val="12"/>
        <color theme="1"/>
        <rFont val="細明體"/>
        <family val="3"/>
        <charset val="136"/>
      </rPr>
      <t>中火熱鑊，下油炒肉</t>
    </r>
    <r>
      <rPr>
        <sz val="12"/>
        <color theme="1"/>
        <rFont val="Calibri"/>
        <family val="2"/>
      </rPr>
      <t xml:space="preserve"> 1 </t>
    </r>
    <r>
      <rPr>
        <sz val="12"/>
        <color theme="1"/>
        <rFont val="細明體"/>
        <family val="3"/>
        <charset val="136"/>
      </rPr>
      <t>分鐘，加黑胡椒。</t>
    </r>
    <phoneticPr fontId="2" type="noConversion"/>
  </si>
  <si>
    <r>
      <rPr>
        <sz val="12"/>
        <color theme="1"/>
        <rFont val="細明體"/>
        <family val="3"/>
        <charset val="136"/>
      </rPr>
      <t>下豆豉，加肉及榨菜略炒。</t>
    </r>
    <phoneticPr fontId="2" type="noConversion"/>
  </si>
  <si>
    <r>
      <rPr>
        <sz val="12"/>
        <color theme="1"/>
        <rFont val="細明體"/>
        <family val="3"/>
        <charset val="136"/>
      </rPr>
      <t>加上湯。</t>
    </r>
    <phoneticPr fontId="2" type="noConversion"/>
  </si>
  <si>
    <r>
      <rPr>
        <sz val="12"/>
        <color theme="1"/>
        <rFont val="微軟正黑體"/>
        <family val="2"/>
        <charset val="136"/>
      </rPr>
      <t>切開洗淨茄子，鋪好在碟上。</t>
    </r>
    <phoneticPr fontId="2" type="noConversion"/>
  </si>
  <si>
    <r>
      <rPr>
        <sz val="12"/>
        <color theme="1"/>
        <rFont val="微軟正黑體"/>
        <family val="2"/>
        <charset val="136"/>
      </rPr>
      <t>清鑊煮滾，落雞湯，先落咸蛋黃及皮蛋煮</t>
    </r>
    <r>
      <rPr>
        <sz val="12"/>
        <color theme="1"/>
        <rFont val="Calibri"/>
        <family val="2"/>
      </rPr>
      <t xml:space="preserve"> 2 </t>
    </r>
    <r>
      <rPr>
        <sz val="12"/>
        <color theme="1"/>
        <rFont val="微軟正黑體"/>
        <family val="2"/>
        <charset val="136"/>
      </rPr>
      <t>分鐘，加咸蛋白打散成蛋花</t>
    </r>
    <r>
      <rPr>
        <sz val="12"/>
        <color theme="1"/>
        <rFont val="Calibri"/>
        <family val="2"/>
      </rPr>
      <t xml:space="preserve">. </t>
    </r>
    <r>
      <rPr>
        <sz val="12"/>
        <color theme="1"/>
        <rFont val="細明體"/>
        <family val="2"/>
        <charset val="136"/>
      </rPr>
      <t>倒入菠菜</t>
    </r>
    <r>
      <rPr>
        <sz val="12"/>
        <color theme="1"/>
        <rFont val="Calibri"/>
        <family val="2"/>
      </rPr>
      <t xml:space="preserve">, </t>
    </r>
    <r>
      <rPr>
        <sz val="12"/>
        <color theme="1"/>
        <rFont val="細明體"/>
        <family val="2"/>
        <charset val="136"/>
      </rPr>
      <t>連湯盛起</t>
    </r>
    <phoneticPr fontId="2" type="noConversion"/>
  </si>
  <si>
    <r>
      <t>表面再撒上一層孜然粉與黑/</t>
    </r>
    <r>
      <rPr>
        <sz val="12"/>
        <color theme="1"/>
        <rFont val="新細明體"/>
        <family val="3"/>
        <charset val="136"/>
      </rPr>
      <t>白芝麻</t>
    </r>
    <r>
      <rPr>
        <sz val="12"/>
        <color theme="1"/>
        <rFont val="Calibri"/>
        <family val="2"/>
      </rPr>
      <t xml:space="preserve">, </t>
    </r>
    <r>
      <rPr>
        <sz val="12"/>
        <color theme="1"/>
        <rFont val="新細明體"/>
        <family val="3"/>
        <charset val="136"/>
      </rPr>
      <t>再以</t>
    </r>
    <r>
      <rPr>
        <sz val="12"/>
        <color theme="1"/>
        <rFont val="Calibri"/>
        <family val="2"/>
      </rPr>
      <t xml:space="preserve"> 180°C</t>
    </r>
    <r>
      <rPr>
        <sz val="12"/>
        <color theme="1"/>
        <rFont val="新細明體"/>
        <family val="3"/>
        <charset val="136"/>
      </rPr>
      <t>（或調高至</t>
    </r>
    <r>
      <rPr>
        <sz val="12"/>
        <color theme="1"/>
        <rFont val="Calibri"/>
        <family val="2"/>
      </rPr>
      <t xml:space="preserve"> 200°C </t>
    </r>
    <r>
      <rPr>
        <sz val="12"/>
        <color theme="1"/>
        <rFont val="新細明體"/>
        <family val="3"/>
        <charset val="136"/>
      </rPr>
      <t>逼出油脂）多氣炸</t>
    </r>
    <r>
      <rPr>
        <sz val="12"/>
        <color theme="1"/>
        <rFont val="Calibri"/>
        <family val="2"/>
      </rPr>
      <t xml:space="preserve"> 3 </t>
    </r>
    <r>
      <rPr>
        <sz val="12"/>
        <color theme="1"/>
        <rFont val="新細明體"/>
        <family val="3"/>
        <charset val="136"/>
      </rPr>
      <t>至</t>
    </r>
    <r>
      <rPr>
        <sz val="12"/>
        <color theme="1"/>
        <rFont val="Calibri"/>
        <family val="2"/>
      </rPr>
      <t xml:space="preserve"> 5 </t>
    </r>
    <r>
      <rPr>
        <sz val="12"/>
        <color theme="1"/>
        <rFont val="新細明體"/>
        <family val="3"/>
        <charset val="136"/>
      </rPr>
      <t>分鐘，至雞皮金黃香脆即可出鍋</t>
    </r>
  </si>
  <si>
    <r>
      <rPr>
        <sz val="12"/>
        <color theme="1"/>
        <rFont val="細明體"/>
        <family val="3"/>
        <charset val="136"/>
      </rPr>
      <t>以</t>
    </r>
    <r>
      <rPr>
        <sz val="12"/>
        <color theme="1"/>
        <rFont val="Calibri"/>
        <family val="2"/>
      </rPr>
      <t xml:space="preserve"> 180°C </t>
    </r>
    <r>
      <rPr>
        <sz val="12"/>
        <color theme="1"/>
        <rFont val="細明體"/>
        <family val="3"/>
        <charset val="136"/>
      </rPr>
      <t>氣炸約</t>
    </r>
    <r>
      <rPr>
        <sz val="12"/>
        <color theme="1"/>
        <rFont val="Calibri"/>
        <family val="2"/>
      </rPr>
      <t xml:space="preserve"> 10 </t>
    </r>
    <r>
      <rPr>
        <sz val="12"/>
        <color theme="1"/>
        <rFont val="細明體"/>
        <family val="3"/>
        <charset val="136"/>
      </rPr>
      <t>分鐘</t>
    </r>
    <phoneticPr fontId="2" type="noConversion"/>
  </si>
  <si>
    <r>
      <rPr>
        <sz val="12"/>
        <color theme="1"/>
        <rFont val="微軟正黑體"/>
        <family val="2"/>
        <charset val="136"/>
      </rPr>
      <t>蠔用</t>
    </r>
    <r>
      <rPr>
        <sz val="12"/>
        <color theme="1"/>
        <rFont val="Calibri"/>
        <family val="2"/>
      </rPr>
      <t>2</t>
    </r>
    <r>
      <rPr>
        <sz val="12"/>
        <color theme="1"/>
        <rFont val="細明體"/>
        <family val="2"/>
        <charset val="136"/>
      </rPr>
      <t>湯匙</t>
    </r>
    <r>
      <rPr>
        <sz val="12"/>
        <color theme="1"/>
        <rFont val="微軟正黑體"/>
        <family val="2"/>
        <charset val="136"/>
      </rPr>
      <t>生粉「拿拿」，用水</t>
    </r>
    <r>
      <rPr>
        <sz val="12"/>
        <color theme="1"/>
        <rFont val="Calibri"/>
        <family val="2"/>
      </rPr>
      <t>(</t>
    </r>
    <r>
      <rPr>
        <sz val="12"/>
        <color theme="1"/>
        <rFont val="細明體"/>
        <family val="2"/>
        <charset val="136"/>
      </rPr>
      <t>輕力</t>
    </r>
    <r>
      <rPr>
        <sz val="12"/>
        <color theme="1"/>
        <rFont val="Calibri"/>
        <family val="2"/>
      </rPr>
      <t>)</t>
    </r>
    <r>
      <rPr>
        <sz val="12"/>
        <color theme="1"/>
        <rFont val="微軟正黑體"/>
        <family val="2"/>
        <charset val="136"/>
      </rPr>
      <t>沖至不再混濁。吸乾水</t>
    </r>
    <r>
      <rPr>
        <sz val="12"/>
        <color theme="1"/>
        <rFont val="Calibri"/>
        <family val="2"/>
      </rPr>
      <t xml:space="preserve">. </t>
    </r>
    <r>
      <rPr>
        <sz val="12"/>
        <color theme="1"/>
        <rFont val="微軟正黑體"/>
        <family val="2"/>
        <charset val="136"/>
      </rPr>
      <t>用手輕抹去表面潺</t>
    </r>
    <phoneticPr fontId="2" type="noConversion"/>
  </si>
  <si>
    <r>
      <rPr>
        <sz val="12"/>
        <color theme="1"/>
        <rFont val="微軟正黑體"/>
        <family val="2"/>
        <charset val="136"/>
      </rPr>
      <t>滾水後放些少薑片，加入蠔汆</t>
    </r>
    <r>
      <rPr>
        <sz val="12"/>
        <color theme="1"/>
        <rFont val="Calibri"/>
        <family val="2"/>
      </rPr>
      <t xml:space="preserve"> 1 </t>
    </r>
    <r>
      <rPr>
        <sz val="12"/>
        <color theme="1"/>
        <rFont val="微軟正黑體"/>
        <family val="2"/>
        <charset val="136"/>
      </rPr>
      <t>分鐘，撈起後印乾，沾上</t>
    </r>
    <r>
      <rPr>
        <sz val="12"/>
        <color theme="1"/>
        <rFont val="Calibri"/>
        <family val="2"/>
      </rPr>
      <t>3</t>
    </r>
    <r>
      <rPr>
        <sz val="12"/>
        <color theme="1"/>
        <rFont val="細明體"/>
        <family val="2"/>
        <charset val="136"/>
      </rPr>
      <t>湯匙</t>
    </r>
    <r>
      <rPr>
        <sz val="12"/>
        <color theme="1"/>
        <rFont val="微軟正黑體"/>
        <family val="2"/>
        <charset val="136"/>
      </rPr>
      <t>生粉及鹽。</t>
    </r>
    <phoneticPr fontId="2" type="noConversion"/>
  </si>
  <si>
    <t>貓耳朵</t>
  </si>
  <si>
    <t>貓耳朵</t>
    <phoneticPr fontId="2" type="noConversion"/>
  </si>
  <si>
    <t>陳醋</t>
  </si>
  <si>
    <t>陳醋</t>
    <phoneticPr fontId="2" type="noConversion"/>
  </si>
  <si>
    <r>
      <rPr>
        <sz val="12"/>
        <color theme="1"/>
        <rFont val="微軟正黑體"/>
        <family val="2"/>
        <charset val="136"/>
      </rPr>
      <t>落蒜頭炒香，落紹酒，連同剛才出味的葱薑，有香味後落蠔快炒，將醬料分時段落待收汁，同時加入葱青炒。</t>
    </r>
    <r>
      <rPr>
        <sz val="12"/>
        <color theme="1"/>
        <rFont val="細明體"/>
        <family val="2"/>
        <charset val="136"/>
      </rPr>
      <t>起鑊前落兩滴麻油</t>
    </r>
    <phoneticPr fontId="2" type="noConversion"/>
  </si>
  <si>
    <r>
      <rPr>
        <sz val="12"/>
        <color theme="1"/>
        <rFont val="微軟正黑體"/>
        <family val="2"/>
        <charset val="136"/>
      </rPr>
      <t>用中火燒熱油鍋，加入薑片同葱白出味，之後撈起薑及葱白，落蠔煎至微金黃後撈起。大火煎</t>
    </r>
    <r>
      <rPr>
        <sz val="12"/>
        <color theme="1"/>
        <rFont val="Calibri"/>
        <family val="2"/>
      </rPr>
      <t>30</t>
    </r>
    <r>
      <rPr>
        <sz val="12"/>
        <color theme="1"/>
        <rFont val="細明體"/>
        <family val="2"/>
        <charset val="136"/>
      </rPr>
      <t>秒反面</t>
    </r>
    <phoneticPr fontId="2" type="noConversion"/>
  </si>
  <si>
    <t>滴</t>
    <phoneticPr fontId="2" type="noConversion"/>
  </si>
  <si>
    <t>兩</t>
  </si>
  <si>
    <r>
      <rPr>
        <sz val="12"/>
        <color theme="1"/>
        <rFont val="微軟正黑體"/>
        <family val="2"/>
        <charset val="136"/>
      </rPr>
      <t>雲耳浸</t>
    </r>
    <r>
      <rPr>
        <sz val="12"/>
        <color theme="1"/>
        <rFont val="Calibri"/>
        <family val="2"/>
      </rPr>
      <t xml:space="preserve"> 30 </t>
    </r>
    <r>
      <rPr>
        <sz val="12"/>
        <color theme="1"/>
        <rFont val="微軟正黑體"/>
        <family val="2"/>
        <charset val="136"/>
      </rPr>
      <t>分鐘，瀝水</t>
    </r>
    <r>
      <rPr>
        <sz val="12"/>
        <color theme="1"/>
        <rFont val="Calibri"/>
        <family val="2"/>
      </rPr>
      <t>,</t>
    </r>
    <r>
      <rPr>
        <sz val="12"/>
        <color theme="1"/>
        <rFont val="微軟正黑體"/>
        <family val="2"/>
        <charset val="136"/>
      </rPr>
      <t>去沙。</t>
    </r>
    <phoneticPr fontId="2" type="noConversion"/>
  </si>
  <si>
    <r>
      <rPr>
        <sz val="12"/>
        <color theme="1"/>
        <rFont val="微軟正黑體"/>
        <family val="2"/>
        <charset val="136"/>
      </rPr>
      <t>重複洗</t>
    </r>
    <r>
      <rPr>
        <sz val="12"/>
        <color theme="1"/>
        <rFont val="Calibri"/>
        <family val="2"/>
      </rPr>
      <t xml:space="preserve"> 3 </t>
    </r>
    <r>
      <rPr>
        <sz val="12"/>
        <color theme="1"/>
        <rFont val="微軟正黑體"/>
        <family val="2"/>
        <charset val="136"/>
      </rPr>
      <t>次。</t>
    </r>
    <phoneticPr fontId="2" type="noConversion"/>
  </si>
  <si>
    <r>
      <rPr>
        <sz val="12"/>
        <color theme="1"/>
        <rFont val="微軟正黑體"/>
        <family val="2"/>
        <charset val="136"/>
      </rPr>
      <t>凍水落雲耳</t>
    </r>
    <r>
      <rPr>
        <sz val="12"/>
        <color theme="1"/>
        <rFont val="Calibri"/>
        <family val="2"/>
      </rPr>
      <t xml:space="preserve">, </t>
    </r>
    <r>
      <rPr>
        <sz val="12"/>
        <color theme="1"/>
        <rFont val="細明體"/>
        <family val="2"/>
        <charset val="136"/>
      </rPr>
      <t>水滾後煮</t>
    </r>
    <r>
      <rPr>
        <sz val="12"/>
        <color theme="1"/>
        <rFont val="Calibri"/>
        <family val="2"/>
      </rPr>
      <t xml:space="preserve"> 2 </t>
    </r>
    <r>
      <rPr>
        <sz val="12"/>
        <color theme="1"/>
        <rFont val="微軟正黑體"/>
        <family val="2"/>
        <charset val="136"/>
      </rPr>
      <t>分鐘，用凍滾水沖涼。</t>
    </r>
    <phoneticPr fontId="2" type="noConversion"/>
  </si>
  <si>
    <r>
      <rPr>
        <sz val="12"/>
        <color theme="1"/>
        <rFont val="微軟正黑體"/>
        <family val="2"/>
        <charset val="136"/>
      </rPr>
      <t>瀝水，拌調味。</t>
    </r>
    <r>
      <rPr>
        <sz val="12"/>
        <color theme="1"/>
        <rFont val="細明體"/>
        <family val="2"/>
        <charset val="136"/>
      </rPr>
      <t>放雪櫃</t>
    </r>
    <phoneticPr fontId="2" type="noConversion"/>
  </si>
  <si>
    <t>純素</t>
    <phoneticPr fontId="2" type="noConversion"/>
  </si>
  <si>
    <t>蛋奶素</t>
    <phoneticPr fontId="2" type="noConversion"/>
  </si>
  <si>
    <t>主菜</t>
  </si>
  <si>
    <t>湯水</t>
    <phoneticPr fontId="2" type="noConversion"/>
  </si>
  <si>
    <t>豬肉</t>
  </si>
  <si>
    <t>甜品</t>
  </si>
  <si>
    <t>副菜</t>
  </si>
  <si>
    <t>D0095</t>
  </si>
  <si>
    <t>D0096</t>
  </si>
  <si>
    <t>D0097</t>
  </si>
  <si>
    <t>D0098</t>
  </si>
  <si>
    <t>煎魚</t>
    <phoneticPr fontId="2" type="noConversion"/>
  </si>
  <si>
    <t>海鮮</t>
  </si>
  <si>
    <t>烚粟米</t>
    <phoneticPr fontId="2" type="noConversion"/>
  </si>
  <si>
    <t>蔬菜</t>
  </si>
  <si>
    <t>烚蛋</t>
    <phoneticPr fontId="2" type="noConversion"/>
  </si>
  <si>
    <t>蛋</t>
  </si>
  <si>
    <t>豬肉碎粥</t>
    <phoneticPr fontId="2" type="noConversion"/>
  </si>
  <si>
    <t>中式</t>
    <phoneticPr fontId="2" type="noConversion"/>
  </si>
  <si>
    <t>日式飯團</t>
    <phoneticPr fontId="2" type="noConversion"/>
  </si>
  <si>
    <t>麥皮</t>
    <phoneticPr fontId="2" type="noConversion"/>
  </si>
  <si>
    <t>D0100</t>
  </si>
  <si>
    <t>烚番薯</t>
    <phoneticPr fontId="2" type="noConversion"/>
  </si>
  <si>
    <t>D0101</t>
  </si>
  <si>
    <t>煎蛋</t>
    <phoneticPr fontId="2" type="noConversion"/>
  </si>
  <si>
    <t>無糖豆漿</t>
    <phoneticPr fontId="2" type="noConversion"/>
  </si>
  <si>
    <t>饅頭</t>
    <phoneticPr fontId="2" type="noConversion"/>
  </si>
  <si>
    <t>豆</t>
  </si>
  <si>
    <t>主食</t>
  </si>
  <si>
    <t>主食</t>
    <phoneticPr fontId="2" type="noConversion"/>
  </si>
  <si>
    <t>D0102</t>
  </si>
  <si>
    <t>D0103</t>
  </si>
  <si>
    <t>D0104</t>
  </si>
  <si>
    <t>D0105</t>
  </si>
  <si>
    <t>D0106</t>
  </si>
  <si>
    <t>D0107</t>
  </si>
  <si>
    <t>烚菜</t>
    <phoneticPr fontId="2" type="noConversion"/>
  </si>
  <si>
    <t>炒菜</t>
    <phoneticPr fontId="2" type="noConversion"/>
  </si>
  <si>
    <r>
      <rPr>
        <sz val="12"/>
        <color theme="1"/>
        <rFont val="微軟正黑體"/>
        <family val="2"/>
        <charset val="136"/>
      </rPr>
      <t>粢</t>
    </r>
    <r>
      <rPr>
        <sz val="12"/>
        <color theme="1"/>
        <rFont val="細明體"/>
        <family val="2"/>
        <charset val="136"/>
      </rPr>
      <t>飯</t>
    </r>
    <phoneticPr fontId="2" type="noConversion"/>
  </si>
  <si>
    <t>D0108</t>
  </si>
  <si>
    <t>飲品</t>
  </si>
  <si>
    <t>飲品</t>
    <phoneticPr fontId="2" type="noConversion"/>
  </si>
  <si>
    <t>炒麵</t>
    <phoneticPr fontId="2" type="noConversion"/>
  </si>
  <si>
    <t>D0109</t>
  </si>
  <si>
    <t>雞肉</t>
  </si>
  <si>
    <t>果仁</t>
    <phoneticPr fontId="2" type="noConversion"/>
  </si>
  <si>
    <t>D0110</t>
  </si>
  <si>
    <t>All day breakfast</t>
    <phoneticPr fontId="2" type="noConversion"/>
  </si>
  <si>
    <t>D0111</t>
  </si>
  <si>
    <t>薯蓉</t>
    <phoneticPr fontId="2" type="noConversion"/>
  </si>
  <si>
    <t>D0112</t>
  </si>
  <si>
    <t>南瓜濃湯</t>
    <phoneticPr fontId="2" type="noConversion"/>
  </si>
  <si>
    <t>D0113</t>
  </si>
  <si>
    <t>湯水</t>
  </si>
  <si>
    <t>蒸魚</t>
    <phoneticPr fontId="2" type="noConversion"/>
  </si>
  <si>
    <t>乾煎大蝦</t>
    <phoneticPr fontId="2" type="noConversion"/>
  </si>
  <si>
    <t>油鹽水絲瓜花甲</t>
    <phoneticPr fontId="2" type="noConversion"/>
  </si>
  <si>
    <t>鼓汁帶子蒸豆腐</t>
    <phoneticPr fontId="2" type="noConversion"/>
  </si>
  <si>
    <t>香茅蝦棒</t>
    <phoneticPr fontId="2" type="noConversion"/>
  </si>
  <si>
    <t>金銀蒜蒸開邊蝦</t>
    <phoneticPr fontId="2" type="noConversion"/>
  </si>
  <si>
    <t>D0095</t>
    <phoneticPr fontId="2" type="noConversion"/>
  </si>
  <si>
    <t>D0114</t>
  </si>
  <si>
    <t>D0115</t>
  </si>
  <si>
    <t>D0116</t>
  </si>
  <si>
    <t>D0117</t>
  </si>
  <si>
    <t>D0118</t>
  </si>
  <si>
    <t>D0119</t>
  </si>
  <si>
    <t>Expire(day)</t>
    <phoneticPr fontId="2" type="noConversion"/>
  </si>
  <si>
    <t>D0120</t>
  </si>
  <si>
    <t>陳皮蒸鮑魚</t>
    <phoneticPr fontId="2" type="noConversion"/>
  </si>
  <si>
    <t>鼓油王煎蝦配腸粉底</t>
    <phoneticPr fontId="2" type="noConversion"/>
  </si>
  <si>
    <t>D0121</t>
  </si>
  <si>
    <t>D0122</t>
  </si>
  <si>
    <t>煎餃子</t>
    <phoneticPr fontId="2" type="noConversion"/>
  </si>
  <si>
    <t>D0123</t>
  </si>
  <si>
    <t>苦瓜炒蛋</t>
    <phoneticPr fontId="2" type="noConversion"/>
  </si>
  <si>
    <t>蕃茄炒蛋</t>
    <phoneticPr fontId="2" type="noConversion"/>
  </si>
  <si>
    <t>D0124</t>
  </si>
  <si>
    <t>D0125</t>
  </si>
  <si>
    <t>獨立成餐</t>
  </si>
  <si>
    <t>獨立成餐</t>
    <phoneticPr fontId="2" type="noConversion"/>
  </si>
  <si>
    <t>小食</t>
  </si>
  <si>
    <t>小食</t>
    <phoneticPr fontId="2" type="noConversion"/>
  </si>
  <si>
    <t>煎釀青椒</t>
    <phoneticPr fontId="2" type="noConversion"/>
  </si>
  <si>
    <t>D0126</t>
  </si>
  <si>
    <t>味道</t>
    <phoneticPr fontId="2" type="noConversion"/>
  </si>
  <si>
    <t>Taste</t>
    <phoneticPr fontId="2" type="noConversion"/>
  </si>
  <si>
    <t>濃味</t>
  </si>
  <si>
    <t>濃味</t>
    <phoneticPr fontId="2" type="noConversion"/>
  </si>
  <si>
    <t>一般</t>
  </si>
  <si>
    <t>一般</t>
    <phoneticPr fontId="2" type="noConversion"/>
  </si>
  <si>
    <t>淡味</t>
  </si>
  <si>
    <t>淡味</t>
    <phoneticPr fontId="2" type="noConversion"/>
  </si>
  <si>
    <t>不適用</t>
  </si>
  <si>
    <t>不適用</t>
    <phoneticPr fontId="2" type="noConversion"/>
  </si>
  <si>
    <t>茶碗蒸</t>
    <phoneticPr fontId="2" type="noConversion"/>
  </si>
  <si>
    <t>玉子燒</t>
    <phoneticPr fontId="2" type="noConversion"/>
  </si>
  <si>
    <t>D0127</t>
  </si>
  <si>
    <t>D0128</t>
  </si>
  <si>
    <t>蜜糖雞翼</t>
    <phoneticPr fontId="2" type="noConversion"/>
  </si>
  <si>
    <t>D0129</t>
  </si>
  <si>
    <t>固體主食</t>
  </si>
  <si>
    <t>流質主食</t>
  </si>
  <si>
    <t>早餐類型</t>
    <phoneticPr fontId="2" type="noConversion"/>
  </si>
  <si>
    <t>蛋白質</t>
  </si>
  <si>
    <t>炒蛋</t>
    <phoneticPr fontId="2" type="noConversion"/>
  </si>
  <si>
    <t>D0130</t>
  </si>
  <si>
    <t>D0131</t>
  </si>
  <si>
    <t>奶</t>
  </si>
  <si>
    <t>煎豬排</t>
    <phoneticPr fontId="2" type="noConversion"/>
  </si>
  <si>
    <t>煎雞排</t>
    <phoneticPr fontId="2" type="noConversion"/>
  </si>
  <si>
    <t>D0132</t>
  </si>
  <si>
    <t>D0133</t>
  </si>
  <si>
    <t>香蕉</t>
    <phoneticPr fontId="2" type="noConversion"/>
  </si>
  <si>
    <t>小番茄</t>
    <phoneticPr fontId="2" type="noConversion"/>
  </si>
  <si>
    <t>火龍果</t>
    <phoneticPr fontId="2" type="noConversion"/>
  </si>
  <si>
    <t>奇異果</t>
    <phoneticPr fontId="2" type="noConversion"/>
  </si>
  <si>
    <t>藍苺</t>
    <phoneticPr fontId="2" type="noConversion"/>
  </si>
  <si>
    <t>D0134</t>
  </si>
  <si>
    <t>D0135</t>
  </si>
  <si>
    <t>D0136</t>
  </si>
  <si>
    <t>D0137</t>
  </si>
  <si>
    <t>D0138</t>
  </si>
  <si>
    <t>水煎蔬菜</t>
    <phoneticPr fontId="2" type="noConversion"/>
  </si>
  <si>
    <t>D0139</t>
  </si>
  <si>
    <t>蘋果烤蛋奶</t>
    <phoneticPr fontId="2" type="noConversion"/>
  </si>
  <si>
    <t>D0140</t>
  </si>
  <si>
    <t>水果吐司捲</t>
    <phoneticPr fontId="2" type="noConversion"/>
  </si>
  <si>
    <t>D0141</t>
  </si>
  <si>
    <t>烚蝦仁</t>
    <phoneticPr fontId="2" type="noConversion"/>
  </si>
  <si>
    <t>D0142</t>
  </si>
  <si>
    <t>Waffle</t>
    <phoneticPr fontId="2" type="noConversion"/>
  </si>
  <si>
    <t>D0143</t>
  </si>
  <si>
    <t>烚雞胸條</t>
    <phoneticPr fontId="2" type="noConversion"/>
  </si>
  <si>
    <t>窩蛋牛肉煲仔飯</t>
    <phoneticPr fontId="2" type="noConversion"/>
  </si>
  <si>
    <t>牛肉</t>
  </si>
  <si>
    <t>D0144</t>
  </si>
  <si>
    <t>D0145</t>
  </si>
  <si>
    <t>油煎豆腐</t>
    <phoneticPr fontId="2" type="noConversion"/>
  </si>
  <si>
    <t>紙包金針菇</t>
    <phoneticPr fontId="2" type="noConversion"/>
  </si>
  <si>
    <t>D0146</t>
  </si>
  <si>
    <t>D0147</t>
  </si>
  <si>
    <t>蕃薯薑糖水</t>
    <phoneticPr fontId="2" type="noConversion"/>
  </si>
  <si>
    <t>楊枝甘露</t>
    <phoneticPr fontId="2" type="noConversion"/>
  </si>
  <si>
    <t>三絲炒米粉</t>
    <phoneticPr fontId="2" type="noConversion"/>
  </si>
  <si>
    <t>養生猴頭菇湯</t>
    <phoneticPr fontId="2" type="noConversion"/>
  </si>
  <si>
    <t>辣白菜豆腐湯</t>
    <phoneticPr fontId="2" type="noConversion"/>
  </si>
  <si>
    <t>合掌瓜茶樹菇淮山腰果湯</t>
    <phoneticPr fontId="2" type="noConversion"/>
  </si>
  <si>
    <t>素酸辣湯</t>
    <phoneticPr fontId="2" type="noConversion"/>
  </si>
  <si>
    <t>琵琶豆腐</t>
    <phoneticPr fontId="2" type="noConversion"/>
  </si>
  <si>
    <t>D0148</t>
  </si>
  <si>
    <t>D0149</t>
  </si>
  <si>
    <t>D0150</t>
  </si>
  <si>
    <t>D0151</t>
  </si>
  <si>
    <t>D0152</t>
  </si>
  <si>
    <t>D0153</t>
  </si>
  <si>
    <t>D0154</t>
  </si>
  <si>
    <t>D0155</t>
  </si>
  <si>
    <t>梅菜素扣肉</t>
    <phoneticPr fontId="2" type="noConversion"/>
  </si>
  <si>
    <t>客家蒸釀苦瓜</t>
    <phoneticPr fontId="2" type="noConversion"/>
  </si>
  <si>
    <t>越式酸辣豆腐雜菜湯</t>
    <phoneticPr fontId="2" type="noConversion"/>
  </si>
  <si>
    <t>牙車快(越式沙律)</t>
    <phoneticPr fontId="2" type="noConversion"/>
  </si>
  <si>
    <t>D0156</t>
  </si>
  <si>
    <t>D0157</t>
  </si>
  <si>
    <t>D0158</t>
  </si>
  <si>
    <t>D0159</t>
  </si>
  <si>
    <t>馬鈴薯味噌湯</t>
    <phoneticPr fontId="2" type="noConversion"/>
  </si>
  <si>
    <t>D0160</t>
  </si>
  <si>
    <t>味噌湯</t>
    <phoneticPr fontId="2" type="noConversion"/>
  </si>
  <si>
    <t>豬肉味噌湯</t>
    <phoneticPr fontId="2" type="noConversion"/>
  </si>
  <si>
    <t>醃漬白泡菜</t>
    <phoneticPr fontId="2" type="noConversion"/>
  </si>
  <si>
    <t>燉甜南瓜</t>
    <phoneticPr fontId="2" type="noConversion"/>
  </si>
  <si>
    <t>D0161</t>
  </si>
  <si>
    <t>D0162</t>
  </si>
  <si>
    <t>D0163</t>
  </si>
  <si>
    <t>乾拌菠菜</t>
    <phoneticPr fontId="2" type="noConversion"/>
  </si>
  <si>
    <t>D0164</t>
  </si>
  <si>
    <t>咖哩烏冬</t>
    <phoneticPr fontId="2" type="noConversion"/>
  </si>
  <si>
    <t>薯仔燉肉</t>
    <phoneticPr fontId="2" type="noConversion"/>
  </si>
  <si>
    <t>D0165</t>
  </si>
  <si>
    <t>D0166</t>
  </si>
  <si>
    <t>大阪燒</t>
    <phoneticPr fontId="2" type="noConversion"/>
  </si>
  <si>
    <t>D0167</t>
  </si>
  <si>
    <t>香煎雞肉丸</t>
    <phoneticPr fontId="2" type="noConversion"/>
  </si>
  <si>
    <t>D0168</t>
  </si>
  <si>
    <t>黑蜜豆奶布丁</t>
    <phoneticPr fontId="2" type="noConversion"/>
  </si>
  <si>
    <t>茄汁手工薯仔球</t>
    <phoneticPr fontId="2" type="noConversion"/>
  </si>
  <si>
    <t>D0169</t>
  </si>
  <si>
    <t>D0170</t>
  </si>
  <si>
    <t>素咖喱飯</t>
    <phoneticPr fontId="2" type="noConversion"/>
  </si>
  <si>
    <t>D0171</t>
  </si>
  <si>
    <t>西式</t>
  </si>
  <si>
    <t>莓果香蕉杏仁奶昔</t>
    <phoneticPr fontId="2" type="noConversion"/>
  </si>
  <si>
    <t>D0172</t>
  </si>
  <si>
    <t>花生醬椰漿天貝蓋飯</t>
    <phoneticPr fontId="2" type="noConversion"/>
  </si>
  <si>
    <t>D0173</t>
  </si>
  <si>
    <t>老少平安</t>
    <phoneticPr fontId="2" type="noConversion"/>
  </si>
  <si>
    <t>中式</t>
  </si>
  <si>
    <t>純素醬燒豆腐煲</t>
    <phoneticPr fontId="2" type="noConversion"/>
  </si>
  <si>
    <t>開心果芝士蛋糕</t>
    <phoneticPr fontId="2" type="noConversion"/>
  </si>
  <si>
    <t>日式</t>
  </si>
  <si>
    <t>鹽趜味噌燉菜</t>
    <phoneticPr fontId="2" type="noConversion"/>
  </si>
  <si>
    <t>D0174</t>
  </si>
  <si>
    <t>D0175</t>
  </si>
  <si>
    <t>D0176</t>
  </si>
  <si>
    <t>D0177</t>
  </si>
  <si>
    <t>手撕杏鮑菇</t>
    <phoneticPr fontId="2" type="noConversion"/>
  </si>
  <si>
    <t>D0178</t>
  </si>
  <si>
    <t>客家風味炸豆腐</t>
    <phoneticPr fontId="2" type="noConversion"/>
  </si>
  <si>
    <t>D0179</t>
  </si>
  <si>
    <t>素螞蟻上樹</t>
    <phoneticPr fontId="2" type="noConversion"/>
  </si>
  <si>
    <t>D0180</t>
  </si>
  <si>
    <t>三杯豆腐</t>
    <phoneticPr fontId="2" type="noConversion"/>
  </si>
  <si>
    <t>D0181</t>
  </si>
  <si>
    <t>hsuan_tv</t>
    <phoneticPr fontId="2" type="noConversion"/>
  </si>
  <si>
    <t>D0182</t>
  </si>
  <si>
    <t>D0183</t>
  </si>
  <si>
    <t>天貝全麥三文治</t>
    <phoneticPr fontId="2" type="noConversion"/>
  </si>
  <si>
    <t>鷹嘴豆泥配全麥多士</t>
    <phoneticPr fontId="2" type="noConversion"/>
  </si>
  <si>
    <t>綠拿鐡高蛋白飲</t>
    <phoneticPr fontId="2" type="noConversion"/>
  </si>
  <si>
    <t>D0184</t>
  </si>
  <si>
    <t>花生醬蛋白棒</t>
    <phoneticPr fontId="2" type="noConversion"/>
  </si>
  <si>
    <t>D0185</t>
  </si>
  <si>
    <t>https://www.barrelleaf.com/high-protein-vegan-breakfasts</t>
  </si>
  <si>
    <t>堅果燕麥能量棒</t>
    <phoneticPr fontId="2" type="noConversion"/>
  </si>
  <si>
    <t>D0186</t>
  </si>
  <si>
    <t>醬燒豆腐</t>
    <phoneticPr fontId="2" type="noConversion"/>
  </si>
  <si>
    <t>D0187</t>
  </si>
  <si>
    <t>D0188</t>
  </si>
  <si>
    <t>中華雞蛋豆腐</t>
  </si>
  <si>
    <t>中華雞蛋豆腐</t>
    <phoneticPr fontId="2" type="noConversion"/>
  </si>
  <si>
    <t>盒</t>
    <phoneticPr fontId="2" type="noConversion"/>
  </si>
  <si>
    <r>
      <rPr>
        <sz val="12"/>
        <color theme="1"/>
        <rFont val="細明體"/>
        <family val="2"/>
        <charset val="136"/>
      </rPr>
      <t>豆腐切成</t>
    </r>
    <r>
      <rPr>
        <sz val="12"/>
        <color theme="1"/>
        <rFont val="Calibri"/>
        <family val="2"/>
      </rPr>
      <t>8</t>
    </r>
    <r>
      <rPr>
        <sz val="12"/>
        <color theme="1"/>
        <rFont val="細明體"/>
        <family val="2"/>
        <charset val="136"/>
      </rPr>
      <t>片備用</t>
    </r>
    <phoneticPr fontId="2" type="noConversion"/>
  </si>
  <si>
    <t>以少許油熱鍋後,加入雞蛋豆腐以中火煎至兩面金黃</t>
    <phoneticPr fontId="2" type="noConversion"/>
  </si>
  <si>
    <t>取一小段餐巾紙, 用筷子夾住, 將鍋中多餘的油吸乾, 接著加入調味料. 待豆腐吸附醬汁, 即成</t>
    <phoneticPr fontId="2" type="noConversion"/>
  </si>
  <si>
    <t>Credit to</t>
    <phoneticPr fontId="2" type="noConversion"/>
  </si>
  <si>
    <t>林姓主婦的晚餐餐桌提案</t>
    <phoneticPr fontId="2" type="noConversion"/>
  </si>
  <si>
    <t>正常</t>
  </si>
  <si>
    <t>純素</t>
  </si>
  <si>
    <t>蛋奶素</t>
  </si>
  <si>
    <t>ID</t>
    <phoneticPr fontId="2" type="noConversion"/>
  </si>
  <si>
    <t>Cuisine</t>
    <phoneticPr fontId="2" type="noConversion"/>
  </si>
  <si>
    <t>蒜炒小芥菜</t>
    <phoneticPr fontId="2" type="noConversion"/>
  </si>
  <si>
    <t>蒜香蒸豬五花高麗菜</t>
    <phoneticPr fontId="2" type="noConversion"/>
  </si>
  <si>
    <t>小黃瓜炒肉末</t>
    <phoneticPr fontId="2" type="noConversion"/>
  </si>
  <si>
    <t>冬瓜肉燥</t>
    <phoneticPr fontId="2" type="noConversion"/>
  </si>
  <si>
    <t>豆腐肉捲</t>
    <phoneticPr fontId="2" type="noConversion"/>
  </si>
  <si>
    <t>味噌松阪豬</t>
    <phoneticPr fontId="2" type="noConversion"/>
  </si>
  <si>
    <t>洋蔥炒豬肉</t>
    <phoneticPr fontId="2" type="noConversion"/>
  </si>
  <si>
    <t>洋蔥燴腩排</t>
    <phoneticPr fontId="2" type="noConversion"/>
  </si>
  <si>
    <t>甜椒櫛瓜味噌豬五花</t>
    <phoneticPr fontId="2" type="noConversion"/>
  </si>
  <si>
    <t>甜椒鑲肉</t>
    <phoneticPr fontId="2" type="noConversion"/>
  </si>
  <si>
    <t>野菜炒豬肉</t>
    <phoneticPr fontId="2" type="noConversion"/>
  </si>
  <si>
    <t>蕃茄薯仔燉肋排</t>
    <phoneticPr fontId="2" type="noConversion"/>
  </si>
  <si>
    <t>嫩煎豬排</t>
    <phoneticPr fontId="2" type="noConversion"/>
  </si>
  <si>
    <t>蒜苗蘿蔔燉肉</t>
    <phoneticPr fontId="2" type="noConversion"/>
  </si>
  <si>
    <t>蒜香醬油薄骨嫩肩排</t>
    <phoneticPr fontId="2" type="noConversion"/>
  </si>
  <si>
    <t>蜜汁排骨(腩排)</t>
    <phoneticPr fontId="2" type="noConversion"/>
  </si>
  <si>
    <t>菜系</t>
    <phoneticPr fontId="2" type="noConversion"/>
  </si>
  <si>
    <t>阿育吠陀</t>
    <phoneticPr fontId="2" type="noConversion"/>
  </si>
  <si>
    <t>韓式</t>
  </si>
  <si>
    <t>D0189</t>
  </si>
  <si>
    <t>D0190</t>
  </si>
  <si>
    <t>D0191</t>
  </si>
  <si>
    <t>D0192</t>
  </si>
  <si>
    <t>D0193</t>
  </si>
  <si>
    <t>D0194</t>
  </si>
  <si>
    <t>D0195</t>
  </si>
  <si>
    <t>D0196</t>
  </si>
  <si>
    <t>D0197</t>
  </si>
  <si>
    <t>D0198</t>
  </si>
  <si>
    <t>D0199</t>
  </si>
  <si>
    <t>D0200</t>
  </si>
  <si>
    <t>D0201</t>
  </si>
  <si>
    <t>D0202</t>
  </si>
  <si>
    <t>D0203</t>
  </si>
  <si>
    <t>日式蘿蔔燉雞翼</t>
    <phoneticPr fontId="2" type="noConversion"/>
  </si>
  <si>
    <t>蕃薯梅子燒雞</t>
    <phoneticPr fontId="2" type="noConversion"/>
  </si>
  <si>
    <t>茄汁毛豆玉米雞絞肉</t>
    <phoneticPr fontId="2" type="noConversion"/>
  </si>
  <si>
    <t>香菇綠竹筍燒雞</t>
    <phoneticPr fontId="2" type="noConversion"/>
  </si>
  <si>
    <t>香煎雞腿排佐櫛瓜</t>
    <phoneticPr fontId="2" type="noConversion"/>
  </si>
  <si>
    <t>海帶滷雞翼</t>
    <phoneticPr fontId="2" type="noConversion"/>
  </si>
  <si>
    <t>蔥油淋雞</t>
    <phoneticPr fontId="2" type="noConversion"/>
  </si>
  <si>
    <t>蘆筍甜椒鳯梨炒嫩雞</t>
    <phoneticPr fontId="2" type="noConversion"/>
  </si>
  <si>
    <t>鹽麴雞唐揚</t>
    <phoneticPr fontId="2" type="noConversion"/>
  </si>
  <si>
    <t>D0204</t>
  </si>
  <si>
    <t>D0205</t>
  </si>
  <si>
    <t>D0206</t>
  </si>
  <si>
    <t>D0207</t>
  </si>
  <si>
    <t>D0208</t>
  </si>
  <si>
    <t>D0209</t>
  </si>
  <si>
    <t>D0210</t>
  </si>
  <si>
    <t>D0211</t>
  </si>
  <si>
    <t>D0212</t>
  </si>
  <si>
    <t>香酥鱈魚</t>
    <phoneticPr fontId="2" type="noConversion"/>
  </si>
  <si>
    <t>香煎赤鯮</t>
    <phoneticPr fontId="2" type="noConversion"/>
  </si>
  <si>
    <t>香煎三文魚</t>
    <phoneticPr fontId="2" type="noConversion"/>
  </si>
  <si>
    <t>香煎鱸魚排</t>
    <phoneticPr fontId="2" type="noConversion"/>
  </si>
  <si>
    <t>烤一夜干</t>
    <phoneticPr fontId="2" type="noConversion"/>
  </si>
  <si>
    <t>烤挪威鹽漬鯖魚</t>
    <phoneticPr fontId="2" type="noConversion"/>
  </si>
  <si>
    <t>椒鹽檸檬烤三文魚</t>
    <phoneticPr fontId="2" type="noConversion"/>
  </si>
  <si>
    <t>蔥爆蝦</t>
    <phoneticPr fontId="2" type="noConversion"/>
  </si>
  <si>
    <t>蔭鳳梨清蒸白帶魚捲</t>
    <phoneticPr fontId="2" type="noConversion"/>
  </si>
  <si>
    <t>蝦仁炒蘆筍</t>
    <phoneticPr fontId="2" type="noConversion"/>
  </si>
  <si>
    <t>鹽烤檸檬魚下巴</t>
    <phoneticPr fontId="2" type="noConversion"/>
  </si>
  <si>
    <t>D0213</t>
  </si>
  <si>
    <t>D0214</t>
  </si>
  <si>
    <t>D0215</t>
  </si>
  <si>
    <t>D0216</t>
  </si>
  <si>
    <t>D0217</t>
  </si>
  <si>
    <t>D0218</t>
  </si>
  <si>
    <t>D0219</t>
  </si>
  <si>
    <t>D0220</t>
  </si>
  <si>
    <t>D0221</t>
  </si>
  <si>
    <t>D0222</t>
  </si>
  <si>
    <t>D0223</t>
  </si>
  <si>
    <t>山藥醬油燒</t>
    <phoneticPr fontId="2" type="noConversion"/>
  </si>
  <si>
    <t>四季豆佐芝麻醬</t>
    <phoneticPr fontId="2" type="noConversion"/>
  </si>
  <si>
    <t>紅燒冬瓜</t>
    <phoneticPr fontId="2" type="noConversion"/>
  </si>
  <si>
    <t>香煎薯仔</t>
    <phoneticPr fontId="2" type="noConversion"/>
  </si>
  <si>
    <t>脆炒大黃瓜</t>
    <phoneticPr fontId="2" type="noConversion"/>
  </si>
  <si>
    <t>高湯娃娃菜</t>
    <phoneticPr fontId="2" type="noConversion"/>
  </si>
  <si>
    <t>梅汁涼拌秋葵</t>
    <phoneticPr fontId="2" type="noConversion"/>
  </si>
  <si>
    <t>涼拌白菜心</t>
    <phoneticPr fontId="2" type="noConversion"/>
  </si>
  <si>
    <t>焦糖燒粟米</t>
    <phoneticPr fontId="2" type="noConversion"/>
  </si>
  <si>
    <t>塔香野菇炒粟米仔</t>
    <phoneticPr fontId="2" type="noConversion"/>
  </si>
  <si>
    <t>D0224</t>
  </si>
  <si>
    <t>D0225</t>
  </si>
  <si>
    <t>D0226</t>
  </si>
  <si>
    <t>D0227</t>
  </si>
  <si>
    <t>D0228</t>
  </si>
  <si>
    <t>D0229</t>
  </si>
  <si>
    <t>D0230</t>
  </si>
  <si>
    <t>D0231</t>
  </si>
  <si>
    <t>D0232</t>
  </si>
  <si>
    <t>D0233</t>
  </si>
  <si>
    <t>D0234</t>
  </si>
  <si>
    <t>蔬果</t>
  </si>
  <si>
    <t>蔬果</t>
    <phoneticPr fontId="2" type="noConversion"/>
  </si>
  <si>
    <t>皮蛋豆腐</t>
    <phoneticPr fontId="2" type="noConversion"/>
  </si>
  <si>
    <t>芝麻醬涼拌豆腐</t>
    <phoneticPr fontId="2" type="noConversion"/>
  </si>
  <si>
    <t>家常滷豆腐</t>
    <phoneticPr fontId="2" type="noConversion"/>
  </si>
  <si>
    <t>椒鹽豆腐丁</t>
    <phoneticPr fontId="2" type="noConversion"/>
  </si>
  <si>
    <t>蔥味噌焗烤芝士油豆腐</t>
    <phoneticPr fontId="2" type="noConversion"/>
  </si>
  <si>
    <t>蔥燒豆皮</t>
    <phoneticPr fontId="2" type="noConversion"/>
  </si>
  <si>
    <t>D0235</t>
  </si>
  <si>
    <t>D0236</t>
  </si>
  <si>
    <t>D0237</t>
  </si>
  <si>
    <t>D0238</t>
  </si>
  <si>
    <t>D0239</t>
  </si>
  <si>
    <t>粟米玉子燒</t>
    <phoneticPr fontId="2" type="noConversion"/>
  </si>
  <si>
    <t>紫菜玉子燒</t>
    <phoneticPr fontId="2" type="noConversion"/>
  </si>
  <si>
    <t>茭白筍炒蛋</t>
    <phoneticPr fontId="2" type="noConversion"/>
  </si>
  <si>
    <t>蝦仁炒蛋</t>
    <phoneticPr fontId="2" type="noConversion"/>
  </si>
  <si>
    <t>櫻花蝦菜脯蛋</t>
    <phoneticPr fontId="2" type="noConversion"/>
  </si>
  <si>
    <t>鹽昆布薯仔雞蛋沙律</t>
    <phoneticPr fontId="2" type="noConversion"/>
  </si>
  <si>
    <t>D0240</t>
  </si>
  <si>
    <t>D0241</t>
  </si>
  <si>
    <t>D0242</t>
  </si>
  <si>
    <t>D0243</t>
  </si>
  <si>
    <t>D0244</t>
  </si>
  <si>
    <t>D0245</t>
  </si>
  <si>
    <t>錕飩湯麵</t>
    <phoneticPr fontId="2" type="noConversion"/>
  </si>
  <si>
    <t>凍烏冬佐溫泉蛋</t>
    <phoneticPr fontId="2" type="noConversion"/>
  </si>
  <si>
    <t>洋蔥雞肉燥飯佐溫泉蛋</t>
    <phoneticPr fontId="2" type="noConversion"/>
  </si>
  <si>
    <t>焦糖粟米飯</t>
    <phoneticPr fontId="2" type="noConversion"/>
  </si>
  <si>
    <t>蝦仁炒飯</t>
    <phoneticPr fontId="2" type="noConversion"/>
  </si>
  <si>
    <t>韓式烤肉時蔬拌飯</t>
    <phoneticPr fontId="2" type="noConversion"/>
  </si>
  <si>
    <t>D0246</t>
  </si>
  <si>
    <t>D0247</t>
  </si>
  <si>
    <t>D0248</t>
  </si>
  <si>
    <t>D0249</t>
  </si>
  <si>
    <t>D0250</t>
  </si>
  <si>
    <t>D0251</t>
  </si>
  <si>
    <t>D0252</t>
  </si>
  <si>
    <t>台式雞肉飯</t>
    <phoneticPr fontId="2" type="noConversion"/>
  </si>
  <si>
    <t>油揚味噌湯</t>
    <phoneticPr fontId="2" type="noConversion"/>
  </si>
  <si>
    <t>台式蕃茄蛋花雞湯</t>
    <phoneticPr fontId="2" type="noConversion"/>
  </si>
  <si>
    <t>台式蜆絲瓜湯</t>
    <phoneticPr fontId="2" type="noConversion"/>
  </si>
  <si>
    <t>韓式海帶芽牛肉湯</t>
    <phoneticPr fontId="2" type="noConversion"/>
  </si>
  <si>
    <t>蘿蔔三文魚味噌湯</t>
    <phoneticPr fontId="2" type="noConversion"/>
  </si>
  <si>
    <t>D0253</t>
  </si>
  <si>
    <t>D0254</t>
  </si>
  <si>
    <t>D0255</t>
  </si>
  <si>
    <t>D0256</t>
  </si>
  <si>
    <t>D0257</t>
  </si>
  <si>
    <t>和風洋葱蛋花湯</t>
    <phoneticPr fontId="2" type="noConversion"/>
  </si>
  <si>
    <t>D0258</t>
  </si>
  <si>
    <t>椰菜</t>
  </si>
  <si>
    <t>個</t>
    <phoneticPr fontId="2" type="noConversion"/>
  </si>
  <si>
    <t>豬五花薄片</t>
  </si>
  <si>
    <t>豬五花薄片</t>
    <phoneticPr fontId="2" type="noConversion"/>
  </si>
  <si>
    <t>白醋</t>
  </si>
  <si>
    <t>白醋</t>
    <phoneticPr fontId="2" type="noConversion"/>
  </si>
  <si>
    <t>芝麻油</t>
  </si>
  <si>
    <t>芝麻油</t>
    <phoneticPr fontId="2" type="noConversion"/>
  </si>
  <si>
    <t>Cat ears Fugus</t>
    <phoneticPr fontId="2" type="noConversion"/>
  </si>
  <si>
    <t>Step_EN</t>
    <phoneticPr fontId="2" type="noConversion"/>
  </si>
  <si>
    <t>Step_FIL</t>
    <phoneticPr fontId="2" type="noConversion"/>
  </si>
  <si>
    <t>Step_ID</t>
    <phoneticPr fontId="2" type="noConversion"/>
  </si>
  <si>
    <t>菜名</t>
    <phoneticPr fontId="2" type="noConversion"/>
  </si>
  <si>
    <t>提香用</t>
    <phoneticPr fontId="2" type="noConversion"/>
  </si>
  <si>
    <t>可省略</t>
    <phoneticPr fontId="2" type="noConversion"/>
  </si>
  <si>
    <t>依序將高麗菜與豬五花薄片均勻鋪在鍋中, 淋紹興酒(可省略)</t>
    <phoneticPr fontId="2" type="noConversion"/>
  </si>
  <si>
    <t>藝上鍋蓋,以小火燜煮7-10分鐘, 至肉片熟透</t>
    <phoneticPr fontId="2" type="noConversion"/>
  </si>
  <si>
    <t>將前四項調味料與蒜末一起混合均勻,淋在肉片上.</t>
    <phoneticPr fontId="2" type="noConversion"/>
  </si>
  <si>
    <t>薄切梅花豬肉片</t>
  </si>
  <si>
    <t>薄切梅花豬肉片</t>
    <phoneticPr fontId="2" type="noConversion"/>
  </si>
  <si>
    <t>板豆腐</t>
  </si>
  <si>
    <t>板豆腐</t>
    <phoneticPr fontId="2" type="noConversion"/>
  </si>
  <si>
    <t>塊</t>
    <phoneticPr fontId="2" type="noConversion"/>
  </si>
  <si>
    <t>味醂</t>
  </si>
  <si>
    <t>將豆腐條包進肉片後捲起</t>
    <phoneticPr fontId="2" type="noConversion"/>
  </si>
  <si>
    <t>以少許油熱鍋後,將肉接縫處朝下用中小火煎, 若有剩的豆腐也可一起放入鍋中煎</t>
    <phoneticPr fontId="2" type="noConversion"/>
  </si>
  <si>
    <t>待肉每一面都煎熟後, 淋上調味料, 此時需不時翻動肉讓醬汁均勻吸附, 等醬汁變濃稠,肉捲上色入味後,即完成</t>
    <phoneticPr fontId="2" type="noConversion"/>
  </si>
  <si>
    <t>D0258</t>
    <phoneticPr fontId="2" type="noConversion"/>
  </si>
  <si>
    <t>洋葱</t>
  </si>
  <si>
    <t>Superior broth</t>
  </si>
  <si>
    <t>Napakahusay na sabaw</t>
  </si>
  <si>
    <t>Kaldu Superior</t>
  </si>
  <si>
    <t>Vegetable noodles</t>
  </si>
  <si>
    <t>Mga pansit na gulay</t>
  </si>
  <si>
    <t>Mie sayur</t>
  </si>
  <si>
    <t>Pork belly</t>
  </si>
  <si>
    <t>Tiyan ng baboy</t>
  </si>
  <si>
    <t>Perut babi</t>
  </si>
  <si>
    <t>Papaya</t>
  </si>
  <si>
    <t>papaya</t>
  </si>
  <si>
    <t>pepaya</t>
  </si>
  <si>
    <t>Water</t>
  </si>
  <si>
    <t>Tubig</t>
  </si>
  <si>
    <t>Air</t>
  </si>
  <si>
    <t>Milk</t>
  </si>
  <si>
    <t>gatas</t>
  </si>
  <si>
    <t>Susu</t>
  </si>
  <si>
    <t>Butter</t>
  </si>
  <si>
    <t>mantikilya</t>
  </si>
  <si>
    <t>mentega</t>
  </si>
  <si>
    <t>Cloth wrapped in tofu</t>
  </si>
  <si>
    <t>Telang binalot sa tofu</t>
  </si>
  <si>
    <t>Kain dibungkus tahu</t>
  </si>
  <si>
    <t>Cornstarch</t>
  </si>
  <si>
    <t>almirol ng mais</t>
  </si>
  <si>
    <t>tepung jagung</t>
  </si>
  <si>
    <t>White fungus</t>
  </si>
  <si>
    <t>Puting fungus</t>
  </si>
  <si>
    <t>Jamur putih</t>
  </si>
  <si>
    <t>White rice</t>
  </si>
  <si>
    <t>Puting bigas</t>
  </si>
  <si>
    <t>Nasi putih</t>
  </si>
  <si>
    <t>Dark soy sauce</t>
  </si>
  <si>
    <t>Madilim na toyo</t>
  </si>
  <si>
    <t>Kecap asin gelap</t>
  </si>
  <si>
    <t>Broccoli</t>
  </si>
  <si>
    <t>brokoli</t>
  </si>
  <si>
    <t>Exempt from preparing meat</t>
  </si>
  <si>
    <t>Exempted sa paghahanda ng karne</t>
  </si>
  <si>
    <t>Dibebaskan dari menyiapkan daging</t>
  </si>
  <si>
    <t>Cream</t>
  </si>
  <si>
    <t>Krim</t>
  </si>
  <si>
    <t>Salad dressing</t>
  </si>
  <si>
    <t>Saus salad</t>
  </si>
  <si>
    <t>Fermented black beans</t>
  </si>
  <si>
    <t>Fermented na itim na beans</t>
  </si>
  <si>
    <t>Kacang hitam fermentasi</t>
  </si>
  <si>
    <t>Tofu</t>
  </si>
  <si>
    <t>tahu</t>
  </si>
  <si>
    <t>Curry powder</t>
  </si>
  <si>
    <t>Pulbos ng curry</t>
  </si>
  <si>
    <t>Bubuk kari</t>
  </si>
  <si>
    <t>Cheese</t>
  </si>
  <si>
    <t>Keso</t>
  </si>
  <si>
    <t>Keju</t>
  </si>
  <si>
    <t>Wasabi</t>
  </si>
  <si>
    <t>Sichuan pepper oil</t>
  </si>
  <si>
    <t>Langis ng Sichuan Pepper</t>
  </si>
  <si>
    <t>Minyak lada Sichuan</t>
  </si>
  <si>
    <t>Carrots</t>
  </si>
  <si>
    <t>Wortel</t>
  </si>
  <si>
    <t>Pepper powder</t>
  </si>
  <si>
    <t>Pulbos ng paminta</t>
  </si>
  <si>
    <t>Bubuk lada</t>
  </si>
  <si>
    <t>Light cream</t>
  </si>
  <si>
    <t>Maliwanag na cream</t>
  </si>
  <si>
    <t>Krim ringan</t>
  </si>
  <si>
    <t>Sesame oil</t>
  </si>
  <si>
    <t>Langis ng linga</t>
  </si>
  <si>
    <t>Minyak wijen</t>
  </si>
  <si>
    <t>Cabbage</t>
  </si>
  <si>
    <t>repolyo</t>
  </si>
  <si>
    <t>kubis</t>
  </si>
  <si>
    <t>Purple sweet potato</t>
  </si>
  <si>
    <t>Lila na kamote</t>
  </si>
  <si>
    <t>Ubi jalar ungu</t>
  </si>
  <si>
    <t>Turmeric powder</t>
  </si>
  <si>
    <t>Pulbos ng luyang dilaw</t>
  </si>
  <si>
    <t>Bubuk kunyit</t>
  </si>
  <si>
    <t>Black pepper</t>
  </si>
  <si>
    <t>Itim na paminta</t>
  </si>
  <si>
    <t>Lada hitam</t>
  </si>
  <si>
    <t>Coconut water</t>
  </si>
  <si>
    <t>Tubig ng niyog</t>
  </si>
  <si>
    <t>Air kelapa</t>
  </si>
  <si>
    <t>Coconut milk</t>
  </si>
  <si>
    <t>Gatas ng niyog</t>
  </si>
  <si>
    <t>santan</t>
  </si>
  <si>
    <t>Scallions</t>
  </si>
  <si>
    <t>mga sibuyas</t>
  </si>
  <si>
    <t>daun bawang</t>
  </si>
  <si>
    <t>Light soy sauce</t>
  </si>
  <si>
    <t>Magaan na toyo</t>
  </si>
  <si>
    <t>Kecap asin ringan</t>
  </si>
  <si>
    <t>Pickled mustard greens</t>
  </si>
  <si>
    <t>Daun mustard acar</t>
  </si>
  <si>
    <t>Garlic paste</t>
  </si>
  <si>
    <t>Pasta bawang putih</t>
  </si>
  <si>
    <t>Konjac powder</t>
  </si>
  <si>
    <t>Serbuk Konjac</t>
  </si>
  <si>
    <t>Honey</t>
  </si>
  <si>
    <t>Madu</t>
  </si>
  <si>
    <t>Spicy broad bean paste</t>
  </si>
  <si>
    <t>Maanghang na broad bean paste</t>
  </si>
  <si>
    <t>Pasta kacang lebar pedas</t>
  </si>
  <si>
    <t>Oats</t>
  </si>
  <si>
    <t>oats</t>
  </si>
  <si>
    <t>Gandum</t>
  </si>
  <si>
    <t>Sugar</t>
  </si>
  <si>
    <t>Asukal</t>
  </si>
  <si>
    <t>gula</t>
  </si>
  <si>
    <t>Tomatoes</t>
  </si>
  <si>
    <t>Kamatis</t>
  </si>
  <si>
    <t>Tomat</t>
  </si>
  <si>
    <t>Tomato butter</t>
  </si>
  <si>
    <t>Mantikilya ng kamatis</t>
  </si>
  <si>
    <t>Mentega tomat</t>
  </si>
  <si>
    <t>Dinner rolls</t>
  </si>
  <si>
    <t>Mga tinapay sa hapunan</t>
  </si>
  <si>
    <t>Roti makan malam</t>
  </si>
  <si>
    <t>Jiang Rong</t>
  </si>
  <si>
    <t>Potatoes</t>
  </si>
  <si>
    <t>Patatas</t>
  </si>
  <si>
    <t>kentang</t>
  </si>
  <si>
    <t>Eggs</t>
  </si>
  <si>
    <t>Mga Itlog</t>
  </si>
  <si>
    <t>telur</t>
  </si>
  <si>
    <t>Mushrooms</t>
  </si>
  <si>
    <t>kabute</t>
  </si>
  <si>
    <t>jamur</t>
  </si>
  <si>
    <t>Salt</t>
  </si>
  <si>
    <t>Asin</t>
  </si>
  <si>
    <t>Garam</t>
  </si>
  <si>
    <t>Eggplant</t>
  </si>
  <si>
    <t>talong</t>
  </si>
  <si>
    <t>terong</t>
  </si>
  <si>
    <t>Chicken powder</t>
  </si>
  <si>
    <t>Pulbos ng manok</t>
  </si>
  <si>
    <t>Bubuk ayam</t>
  </si>
  <si>
    <t>Century eggs</t>
  </si>
  <si>
    <t>Telur abad</t>
  </si>
  <si>
    <t>Salted eggs</t>
  </si>
  <si>
    <t>Mga itlog na may alat</t>
  </si>
  <si>
    <t>Telur asin</t>
  </si>
  <si>
    <t>Spinach</t>
  </si>
  <si>
    <t>spinach</t>
  </si>
  <si>
    <t>Bayam</t>
  </si>
  <si>
    <t>Garlic</t>
  </si>
  <si>
    <t>bawang</t>
  </si>
  <si>
    <t>bawang putih</t>
  </si>
  <si>
    <t>Barrel oysters</t>
  </si>
  <si>
    <t>Tiram tong</t>
  </si>
  <si>
    <t>Ginger</t>
  </si>
  <si>
    <t>luya</t>
  </si>
  <si>
    <t>jahe</t>
  </si>
  <si>
    <t>Oyster sauce</t>
  </si>
  <si>
    <t>Sarsa ng talaba</t>
  </si>
  <si>
    <t>Saus tiram</t>
  </si>
  <si>
    <t>Shaoxing wine</t>
  </si>
  <si>
    <t>Alak ng Shaoxing</t>
  </si>
  <si>
    <t>Anggur Shaoxing</t>
  </si>
  <si>
    <t>Chicken wings</t>
  </si>
  <si>
    <t>Pakpak ng manok</t>
  </si>
  <si>
    <t>Sayap ayam</t>
  </si>
  <si>
    <t>Black sesame</t>
  </si>
  <si>
    <t>Itim na linga</t>
  </si>
  <si>
    <t>Wijen hitam</t>
  </si>
  <si>
    <t>Garlic salt</t>
  </si>
  <si>
    <t>Asin ng bawang</t>
  </si>
  <si>
    <t>Garam bawang putih</t>
  </si>
  <si>
    <t>Cumin powder</t>
  </si>
  <si>
    <t>Pulbos ng cumin</t>
  </si>
  <si>
    <t>Bubuk jintan</t>
  </si>
  <si>
    <t>Five-spice powder</t>
  </si>
  <si>
    <t>Pulbos na may limang pampalasa</t>
  </si>
  <si>
    <t>Bubuk lima rempah</t>
  </si>
  <si>
    <t>Mga tainga ng pusa</t>
  </si>
  <si>
    <t>Telinga kucing</t>
  </si>
  <si>
    <t>Aged vinegar</t>
  </si>
  <si>
    <t>Lumang suka</t>
  </si>
  <si>
    <t>Cuka tua</t>
  </si>
  <si>
    <t>Chinese egg tofu</t>
  </si>
  <si>
    <t>Tsino na itlog na tofu</t>
  </si>
  <si>
    <t>tahu telur Cina</t>
  </si>
  <si>
    <t>Thin slices of pork belly</t>
  </si>
  <si>
    <t>Manipis na hiwa ng pork belly</t>
  </si>
  <si>
    <t>Irisan tipis perut babi</t>
  </si>
  <si>
    <t>White vinegar</t>
  </si>
  <si>
    <t>Puting suka</t>
  </si>
  <si>
    <t>Cuka putih</t>
  </si>
  <si>
    <t>Thinly sliced pork shoulder</t>
  </si>
  <si>
    <t>Manipis na hiniwang balikat ng baboy</t>
  </si>
  <si>
    <t>Bahu babi iris tipis</t>
  </si>
  <si>
    <t>Firm tofu</t>
  </si>
  <si>
    <t>Matibay na tofu</t>
  </si>
  <si>
    <t>Tahu padat</t>
  </si>
  <si>
    <t>Mirin</t>
  </si>
  <si>
    <t>mirin</t>
  </si>
  <si>
    <t>日式高湯包</t>
  </si>
  <si>
    <t>日式高湯包</t>
    <phoneticPr fontId="2" type="noConversion"/>
  </si>
  <si>
    <r>
      <rPr>
        <sz val="12"/>
        <color theme="1"/>
        <rFont val="細明體"/>
        <family val="2"/>
        <charset val="136"/>
      </rPr>
      <t>將洋葱切絲後</t>
    </r>
    <r>
      <rPr>
        <sz val="12"/>
        <color theme="1"/>
        <rFont val="Calibri"/>
        <family val="2"/>
      </rPr>
      <t xml:space="preserve">, </t>
    </r>
    <r>
      <rPr>
        <sz val="12"/>
        <color theme="1"/>
        <rFont val="細明體"/>
        <family val="2"/>
        <charset val="136"/>
      </rPr>
      <t>以中小火拌炒至焦黃</t>
    </r>
    <phoneticPr fontId="2" type="noConversion"/>
  </si>
  <si>
    <r>
      <rPr>
        <sz val="12"/>
        <color theme="1"/>
        <rFont val="細明體"/>
        <family val="2"/>
        <charset val="136"/>
      </rPr>
      <t>煲水至滾後加湯包煮</t>
    </r>
    <r>
      <rPr>
        <sz val="12"/>
        <color theme="1"/>
        <rFont val="Calibri"/>
        <family val="2"/>
      </rPr>
      <t>5</t>
    </r>
    <r>
      <rPr>
        <sz val="12"/>
        <color theme="1"/>
        <rFont val="細明體"/>
        <family val="2"/>
        <charset val="136"/>
      </rPr>
      <t>分鐘</t>
    </r>
    <r>
      <rPr>
        <sz val="12"/>
        <color theme="1"/>
        <rFont val="Calibri"/>
        <family val="2"/>
      </rPr>
      <t>,</t>
    </r>
    <r>
      <rPr>
        <sz val="12"/>
        <color theme="1"/>
        <rFont val="細明體"/>
        <family val="2"/>
        <charset val="136"/>
      </rPr>
      <t>將高湯包取出</t>
    </r>
    <phoneticPr fontId="2" type="noConversion"/>
  </si>
  <si>
    <t>打入蛋液,以鹽及黑胡椒調味</t>
    <phoneticPr fontId="2" type="noConversion"/>
  </si>
  <si>
    <t>在砧格上撒1把鹽, 放上秋葵, 用手壓著滾一滾以去除表層細毛, 接著清洗秋葵, 同時將蒂頭稜角的外皮以刀削除</t>
    <phoneticPr fontId="2" type="noConversion"/>
  </si>
  <si>
    <t>放入熱水中煮3分鐘, 起鍋後放入冰水中冰鎮</t>
    <phoneticPr fontId="2" type="noConversion"/>
  </si>
  <si>
    <t>淋上梅汁醬油即完成(市售醃梅子罐裡的糖水皆可用來製作)</t>
    <phoneticPr fontId="2" type="noConversion"/>
  </si>
  <si>
    <t>秋葵</t>
  </si>
  <si>
    <t>秋葵</t>
    <phoneticPr fontId="2" type="noConversion"/>
  </si>
  <si>
    <t>醃梅糖水</t>
  </si>
  <si>
    <t>醃梅糖水</t>
    <phoneticPr fontId="2" type="noConversion"/>
  </si>
  <si>
    <t>包</t>
    <phoneticPr fontId="2" type="noConversion"/>
  </si>
  <si>
    <t>芽菜</t>
  </si>
  <si>
    <t>芽菜</t>
    <phoneticPr fontId="2" type="noConversion"/>
  </si>
  <si>
    <r>
      <t>=TRANSLATE([@</t>
    </r>
    <r>
      <rPr>
        <sz val="12"/>
        <color theme="1"/>
        <rFont val="細明體"/>
        <family val="3"/>
        <charset val="136"/>
      </rPr>
      <t>材料</t>
    </r>
    <r>
      <rPr>
        <sz val="12"/>
        <color theme="1"/>
        <rFont val="Calibri"/>
        <family val="2"/>
      </rPr>
      <t>],"zh-cht","en")</t>
    </r>
  </si>
  <si>
    <t>條</t>
  </si>
  <si>
    <t>粒</t>
  </si>
  <si>
    <t>大把</t>
    <phoneticPr fontId="2" type="noConversion"/>
  </si>
  <si>
    <t>以適量麻油熱鍋後,加入豬肉片拌炒至熟</t>
    <phoneticPr fontId="2" type="noConversion"/>
  </si>
  <si>
    <t>加入椰菜及紅蘿蔔片拌炒至軟</t>
    <phoneticPr fontId="2" type="noConversion"/>
  </si>
  <si>
    <r>
      <rPr>
        <sz val="12"/>
        <color theme="1"/>
        <rFont val="細明體"/>
        <family val="2"/>
        <charset val="136"/>
      </rPr>
      <t>豬肉片以</t>
    </r>
    <r>
      <rPr>
        <sz val="12"/>
        <color theme="1"/>
        <rFont val="Calibri"/>
        <family val="2"/>
      </rPr>
      <t>2</t>
    </r>
    <r>
      <rPr>
        <sz val="12"/>
        <color theme="1"/>
        <rFont val="細明體"/>
        <family val="2"/>
        <charset val="136"/>
      </rPr>
      <t>茶匙生抽醃</t>
    </r>
    <r>
      <rPr>
        <sz val="12"/>
        <color theme="1"/>
        <rFont val="Calibri"/>
        <family val="2"/>
        <charset val="136"/>
      </rPr>
      <t xml:space="preserve">, </t>
    </r>
    <r>
      <rPr>
        <sz val="12"/>
        <color theme="1"/>
        <rFont val="細明體"/>
        <family val="2"/>
        <charset val="136"/>
      </rPr>
      <t>椰菜剝小片</t>
    </r>
    <r>
      <rPr>
        <sz val="12"/>
        <color theme="1"/>
        <rFont val="Calibri"/>
        <family val="2"/>
      </rPr>
      <t xml:space="preserve">, </t>
    </r>
    <r>
      <rPr>
        <sz val="12"/>
        <color theme="1"/>
        <rFont val="細明體"/>
        <family val="2"/>
        <charset val="136"/>
      </rPr>
      <t>紅蘿蔔切片</t>
    </r>
    <r>
      <rPr>
        <sz val="12"/>
        <color theme="1"/>
        <rFont val="Calibri"/>
        <family val="2"/>
      </rPr>
      <t xml:space="preserve">, </t>
    </r>
    <r>
      <rPr>
        <sz val="12"/>
        <color theme="1"/>
        <rFont val="細明體"/>
        <family val="2"/>
        <charset val="136"/>
      </rPr>
      <t>葱切段</t>
    </r>
    <r>
      <rPr>
        <sz val="12"/>
        <color theme="1"/>
        <rFont val="Calibri"/>
        <family val="2"/>
      </rPr>
      <t>,</t>
    </r>
    <r>
      <rPr>
        <sz val="12"/>
        <color theme="1"/>
        <rFont val="細明體"/>
        <family val="2"/>
        <charset val="136"/>
      </rPr>
      <t>蒜頭切片備用</t>
    </r>
    <r>
      <rPr>
        <sz val="12"/>
        <color theme="1"/>
        <rFont val="Calibri"/>
        <family val="2"/>
      </rPr>
      <t xml:space="preserve">. </t>
    </r>
    <phoneticPr fontId="2" type="noConversion"/>
  </si>
  <si>
    <t>加入芽菜,葱段及蒜片拌炒</t>
    <phoneticPr fontId="2" type="noConversion"/>
  </si>
  <si>
    <t>加入調味. 試味</t>
    <phoneticPr fontId="2" type="noConversion"/>
  </si>
  <si>
    <t>青瓜</t>
  </si>
  <si>
    <t>青瓜</t>
    <phoneticPr fontId="2" type="noConversion"/>
  </si>
  <si>
    <t>鎮江醋</t>
  </si>
  <si>
    <t>鎮江醋</t>
    <phoneticPr fontId="2" type="noConversion"/>
  </si>
  <si>
    <t>指天椒</t>
  </si>
  <si>
    <t>將調味倒入攪拌，再放入青瓜中。</t>
  </si>
  <si>
    <t>鹽醃 10 分鐘，倒去青瓜水。</t>
  </si>
  <si>
    <t>青瓜切小段，用刀輕拍青瓜。</t>
  </si>
  <si>
    <t>件</t>
  </si>
  <si>
    <r>
      <rPr>
        <sz val="12"/>
        <color theme="1"/>
        <rFont val="新細明體"/>
        <family val="2"/>
        <charset val="136"/>
        <scheme val="minor"/>
      </rPr>
      <t>五花腩</t>
    </r>
  </si>
  <si>
    <r>
      <rPr>
        <sz val="12"/>
        <color theme="1"/>
        <rFont val="新細明體"/>
        <family val="2"/>
        <charset val="136"/>
        <scheme val="minor"/>
      </rPr>
      <t>燕麥</t>
    </r>
  </si>
  <si>
    <r>
      <rPr>
        <sz val="12"/>
        <color theme="1"/>
        <rFont val="新細明體"/>
        <family val="2"/>
        <charset val="136"/>
        <scheme val="minor"/>
      </rPr>
      <t>水</t>
    </r>
  </si>
  <si>
    <r>
      <rPr>
        <sz val="12"/>
        <color theme="1"/>
        <rFont val="新細明體"/>
        <family val="2"/>
        <charset val="136"/>
        <scheme val="minor"/>
      </rPr>
      <t>鹽</t>
    </r>
  </si>
  <si>
    <r>
      <rPr>
        <sz val="12"/>
        <color theme="1"/>
        <rFont val="新細明體"/>
        <family val="2"/>
        <charset val="136"/>
        <scheme val="minor"/>
      </rPr>
      <t>糖</t>
    </r>
  </si>
  <si>
    <t>雞胸肉</t>
  </si>
  <si>
    <t>雞胸肉</t>
    <phoneticPr fontId="2" type="noConversion"/>
  </si>
  <si>
    <t>白芝麻</t>
  </si>
  <si>
    <t>白芝麻</t>
    <phoneticPr fontId="2" type="noConversion"/>
  </si>
  <si>
    <t>Chili</t>
    <phoneticPr fontId="2" type="noConversion"/>
  </si>
  <si>
    <t>食用前倒入麻油及白芝麻作裝飾。</t>
  </si>
  <si>
    <t>炒香的粉混入雞粉，混入雞絲，放雪櫃。</t>
  </si>
  <si>
    <t>白鑊炒香五香粉及鹽（或用椒鹽）。</t>
  </si>
  <si>
    <t>雞蒸熟，放涼，手撕成條。</t>
  </si>
  <si>
    <t>把薑汁分好在碗中，把奶倒入碗中，勿動至少 1 分鐘即成。</t>
  </si>
  <si>
    <t>把煮好的奶倒入一個涼的鍋中，來回倒十次。</t>
  </si>
  <si>
    <t>煮奶用中小火，小心不可煮滾，不斷攪拌，直至邊邊冒小氣泡。</t>
  </si>
  <si>
    <t>用將會盛奶的碗量好牛奶，磨薑汁備用。</t>
  </si>
  <si>
    <t>碗</t>
  </si>
  <si>
    <t>薑汁</t>
  </si>
  <si>
    <t>薑汁</t>
    <phoneticPr fontId="2" type="noConversion"/>
  </si>
  <si>
    <t>把豬排放在鹽水中浸約半小時，浸出血水及腥味，再晾乾。</t>
  </si>
  <si>
    <t>把乾了的豬排放入醃料Ⓐ（雞蛋、鹽、糖、生抽、薑汁、胡椒粉、生粉、麵粉）按摩 1 分鐘，放進雪櫃醃 4 小時。</t>
  </si>
  <si>
    <t>中火煎豬排，快熟時開大火鎖實，盛起備用。</t>
  </si>
  <si>
    <t>洋葱切條，中火炒 1 分鐘，加入蒜蓉，再加芡汁Ⓑ（鹽、糖、茄汁、喼汁、生抽、黑胡椒；喼汁最遲放）。完成後倒入豬排中。</t>
  </si>
  <si>
    <t>塊</t>
  </si>
  <si>
    <r>
      <rPr>
        <sz val="12"/>
        <color theme="1"/>
        <rFont val="新細明體"/>
        <family val="2"/>
        <charset val="136"/>
        <scheme val="minor"/>
      </rPr>
      <t>生粉</t>
    </r>
  </si>
  <si>
    <r>
      <rPr>
        <sz val="12"/>
        <color theme="1"/>
        <rFont val="新細明體"/>
        <family val="2"/>
        <charset val="136"/>
        <scheme val="minor"/>
      </rPr>
      <t>葱</t>
    </r>
  </si>
  <si>
    <r>
      <rPr>
        <sz val="12"/>
        <color theme="1"/>
        <rFont val="新細明體"/>
        <family val="2"/>
        <charset val="136"/>
        <scheme val="minor"/>
      </rPr>
      <t>木瓜</t>
    </r>
  </si>
  <si>
    <r>
      <rPr>
        <sz val="12"/>
        <color theme="1"/>
        <rFont val="新細明體"/>
        <family val="2"/>
        <charset val="136"/>
        <scheme val="minor"/>
      </rPr>
      <t>椰漿</t>
    </r>
  </si>
  <si>
    <r>
      <rPr>
        <sz val="12"/>
        <color theme="1"/>
        <rFont val="新細明體"/>
        <family val="2"/>
        <charset val="136"/>
        <scheme val="minor"/>
      </rPr>
      <t>適量</t>
    </r>
    <phoneticPr fontId="2" type="noConversion"/>
  </si>
  <si>
    <t>豬扒</t>
  </si>
  <si>
    <t>豬扒</t>
    <phoneticPr fontId="2" type="noConversion"/>
  </si>
  <si>
    <t>麵粉</t>
  </si>
  <si>
    <t>麵粉</t>
    <phoneticPr fontId="2" type="noConversion"/>
  </si>
  <si>
    <r>
      <rPr>
        <sz val="12"/>
        <color theme="1"/>
        <rFont val="新細明體"/>
        <family val="2"/>
        <charset val="136"/>
        <scheme val="minor"/>
      </rPr>
      <t>食材</t>
    </r>
    <phoneticPr fontId="2" type="noConversion"/>
  </si>
  <si>
    <r>
      <rPr>
        <sz val="12"/>
        <color theme="1"/>
        <rFont val="新細明體"/>
        <family val="2"/>
        <charset val="136"/>
        <scheme val="minor"/>
      </rPr>
      <t>調味</t>
    </r>
    <phoneticPr fontId="2" type="noConversion"/>
  </si>
  <si>
    <t>醃料</t>
    <phoneticPr fontId="2" type="noConversion"/>
  </si>
  <si>
    <t>芡汁</t>
    <phoneticPr fontId="2" type="noConversion"/>
  </si>
  <si>
    <t>茄汁</t>
  </si>
  <si>
    <t>茄汁</t>
    <phoneticPr fontId="2" type="noConversion"/>
  </si>
  <si>
    <t>喼汁</t>
  </si>
  <si>
    <t>喼汁</t>
    <phoneticPr fontId="2" type="noConversion"/>
  </si>
  <si>
    <t>Worcester sauce</t>
  </si>
  <si>
    <t>甜椒</t>
  </si>
  <si>
    <t>甜椒</t>
    <phoneticPr fontId="2" type="noConversion"/>
  </si>
  <si>
    <t>櫛瓜</t>
  </si>
  <si>
    <t>櫛瓜</t>
    <phoneticPr fontId="2" type="noConversion"/>
  </si>
  <si>
    <t>味噌</t>
  </si>
  <si>
    <t>味噌</t>
    <phoneticPr fontId="2" type="noConversion"/>
  </si>
  <si>
    <t>清酒</t>
  </si>
  <si>
    <t>清酒</t>
    <phoneticPr fontId="2" type="noConversion"/>
  </si>
  <si>
    <r>
      <rPr>
        <sz val="12"/>
        <color theme="1"/>
        <rFont val="新細明體"/>
        <family val="2"/>
        <charset val="136"/>
      </rPr>
      <t>個</t>
    </r>
  </si>
  <si>
    <r>
      <rPr>
        <sz val="12"/>
        <color theme="1"/>
        <rFont val="新細明體"/>
        <family val="2"/>
        <charset val="136"/>
      </rPr>
      <t>隻</t>
    </r>
  </si>
  <si>
    <r>
      <rPr>
        <sz val="12"/>
        <color theme="1"/>
        <rFont val="新細明體"/>
        <family val="2"/>
        <charset val="136"/>
      </rPr>
      <t>匙</t>
    </r>
  </si>
  <si>
    <r>
      <rPr>
        <sz val="12"/>
        <color theme="1"/>
        <rFont val="新細明體"/>
        <family val="2"/>
        <charset val="136"/>
      </rPr>
      <t>湯匙</t>
    </r>
  </si>
  <si>
    <r>
      <rPr>
        <sz val="12"/>
        <color theme="1"/>
        <rFont val="細明體"/>
        <family val="2"/>
        <charset val="136"/>
      </rPr>
      <t>甜椒</t>
    </r>
    <r>
      <rPr>
        <sz val="12"/>
        <color theme="1"/>
        <rFont val="Calibri"/>
        <family val="2"/>
      </rPr>
      <t>,</t>
    </r>
    <r>
      <rPr>
        <sz val="12"/>
        <color theme="1"/>
        <rFont val="細明體"/>
        <family val="2"/>
        <charset val="136"/>
      </rPr>
      <t>櫛瓜切小塊備用</t>
    </r>
    <phoneticPr fontId="2" type="noConversion"/>
  </si>
  <si>
    <t>將調味料混合均勻後,與五花肉片抓勻,可提前醃著冰冷藏或冷凍</t>
    <phoneticPr fontId="2" type="noConversion"/>
  </si>
  <si>
    <t>以少許油熱鍋後, 加入甜椒與櫛瓜拌炒至熟,撒少許鹽調味</t>
    <phoneticPr fontId="2" type="noConversion"/>
  </si>
  <si>
    <t>將五花肉片放入鍋中拌炒至熟</t>
    <phoneticPr fontId="2" type="noConversion"/>
  </si>
  <si>
    <t>雜菇</t>
  </si>
  <si>
    <t>雜菇</t>
    <phoneticPr fontId="2" type="noConversion"/>
  </si>
  <si>
    <t>粟米仔</t>
  </si>
  <si>
    <t>粟米仔</t>
    <phoneticPr fontId="2" type="noConversion"/>
  </si>
  <si>
    <t>九層塔</t>
  </si>
  <si>
    <t>九層塔</t>
    <phoneticPr fontId="2" type="noConversion"/>
  </si>
  <si>
    <t>Basil</t>
    <phoneticPr fontId="2" type="noConversion"/>
  </si>
  <si>
    <t>幾</t>
    <phoneticPr fontId="2" type="noConversion"/>
  </si>
  <si>
    <t>株</t>
    <phoneticPr fontId="2" type="noConversion"/>
  </si>
  <si>
    <t>將雜菇切成適合大小, 粟仔仔切小段</t>
    <phoneticPr fontId="2" type="noConversion"/>
  </si>
  <si>
    <t>少許油熱鍋後,加入所有食材翻炒至軟. 最後放入九層塔及蒜蓉(也可放點辣椒). 並放調味</t>
    <phoneticPr fontId="2" type="noConversion"/>
  </si>
  <si>
    <t>以少許油熱鍋,加入洋葱絲,中小火炒至金黃色</t>
    <phoneticPr fontId="2" type="noConversion"/>
  </si>
  <si>
    <t>加入梅肉片炒至熟</t>
    <phoneticPr fontId="2" type="noConversion"/>
  </si>
  <si>
    <t>加入調味,讓醬汁與肉片拌炒均勻. 即完成. 也可點黑胡椒提味</t>
    <phoneticPr fontId="2" type="noConversion"/>
  </si>
  <si>
    <r>
      <rPr>
        <sz val="12"/>
        <color theme="1"/>
        <rFont val="細明體"/>
        <family val="2"/>
        <charset val="136"/>
      </rPr>
      <t>將葱花加入蛋中打散</t>
    </r>
    <r>
      <rPr>
        <sz val="12"/>
        <color theme="1"/>
        <rFont val="Calibri"/>
        <family val="2"/>
      </rPr>
      <t>,</t>
    </r>
    <r>
      <rPr>
        <sz val="12"/>
        <color theme="1"/>
        <rFont val="細明體"/>
        <family val="2"/>
        <charset val="136"/>
      </rPr>
      <t>待油熱後</t>
    </r>
    <r>
      <rPr>
        <sz val="12"/>
        <color theme="1"/>
        <rFont val="Calibri"/>
        <family val="2"/>
      </rPr>
      <t>,</t>
    </r>
    <r>
      <rPr>
        <sz val="12"/>
        <color theme="1"/>
        <rFont val="細明體"/>
        <family val="2"/>
        <charset val="136"/>
      </rPr>
      <t>倒入蛋炒至八分熟起鍋備用</t>
    </r>
    <phoneticPr fontId="2" type="noConversion"/>
  </si>
  <si>
    <t>蕃茄切成小塊,同一鍋補油,倒蕃茄入鍋炒至軟</t>
    <phoneticPr fontId="2" type="noConversion"/>
  </si>
  <si>
    <t>將炒蛋回鍋, 加調味.待醬料與食材拌炒勻勻</t>
    <phoneticPr fontId="2" type="noConversion"/>
  </si>
  <si>
    <t>薄牛肉片</t>
  </si>
  <si>
    <t>薄牛肉片</t>
    <phoneticPr fontId="2" type="noConversion"/>
  </si>
  <si>
    <t>鰹魚高湯粉</t>
  </si>
  <si>
    <t>鰹魚高湯粉</t>
    <phoneticPr fontId="2" type="noConversion"/>
  </si>
  <si>
    <t>Dashi</t>
    <phoneticPr fontId="2" type="noConversion"/>
  </si>
  <si>
    <t>洋葱切幼條, 弄散, 牛肉弄散</t>
    <phoneticPr fontId="2" type="noConversion"/>
  </si>
  <si>
    <t>開火炒洋葱至金黃色, 調細火或關火放調味</t>
    <phoneticPr fontId="2" type="noConversion"/>
  </si>
  <si>
    <t>汁滾再用中火煮一下至汁濃,下牛肉同煮</t>
    <phoneticPr fontId="2" type="noConversion"/>
  </si>
  <si>
    <t>盛飯,倒上面, 撒葱花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</si>
</sst>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新細明體"/>
      <family val="2"/>
      <charset val="136"/>
      <scheme val="minor"/>
    </font>
    <font>
      <sz val="12"/>
      <color theme="1"/>
      <name val="新細明體"/>
      <family val="2"/>
      <charset val="136"/>
    </font>
    <font>
      <sz val="9"/>
      <name val="新細明體"/>
      <family val="2"/>
      <charset val="136"/>
      <scheme val="minor"/>
    </font>
    <font>
      <sz val="12"/>
      <color theme="1"/>
      <name val="Calibri"/>
      <family val="2"/>
    </font>
    <font>
      <sz val="12"/>
      <color theme="1"/>
      <name val="細明體"/>
      <family val="2"/>
      <charset val="136"/>
    </font>
    <font>
      <sz val="12"/>
      <color theme="1"/>
      <name val="Calibri"/>
      <family val="2"/>
      <charset val="136"/>
    </font>
    <font>
      <sz val="12"/>
      <color theme="1"/>
      <name val="微軟正黑體"/>
      <family val="2"/>
      <charset val="136"/>
    </font>
    <font>
      <sz val="12"/>
      <color theme="1"/>
      <name val="新細明體"/>
      <family val="1"/>
      <charset val="136"/>
    </font>
    <font>
      <b/>
      <sz val="12"/>
      <color theme="1"/>
      <name val="Calibri"/>
      <family val="2"/>
    </font>
    <font>
      <b/>
      <sz val="12"/>
      <color theme="1"/>
      <name val="新細明體"/>
      <family val="1"/>
      <charset val="136"/>
    </font>
    <font>
      <sz val="12"/>
      <color theme="1"/>
      <name val="細明體"/>
      <family val="3"/>
      <charset val="136"/>
    </font>
    <font>
      <sz val="12"/>
      <color theme="1"/>
      <name val="新細明體"/>
      <family val="3"/>
      <charset val="136"/>
    </font>
    <font>
      <sz val="12"/>
      <color theme="1"/>
      <name val="Calibri"/>
      <family val="3"/>
      <charset val="136"/>
    </font>
    <font>
      <b/>
      <sz val="12"/>
      <color theme="0"/>
      <name val="Calibri"/>
      <family val="2"/>
    </font>
    <font>
      <b/>
      <sz val="12"/>
      <color theme="1"/>
      <name val="細明體"/>
      <family val="2"/>
      <charset val="136"/>
    </font>
  </fonts>
  <fills count="8">
    <fill>
      <patternFill patternType="none"/>
    </fill>
    <fill>
      <patternFill patternType="gray125"/>
    </fill>
    <fill>
      <patternFill patternType="solid">
        <fgColor theme="8" tint="-0.249977111117893"/>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bgColor theme="4"/>
      </patternFill>
    </fill>
    <fill>
      <patternFill patternType="solid">
        <fgColor theme="5" tint="0.39997558519241921"/>
        <bgColor indexed="6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alignment vertical="center"/>
    </xf>
  </cellStyleXfs>
  <cellXfs count="36">
    <xf numFmtId="0" fontId="0" fillId="0" borderId="0" xfId="0">
      <alignment vertical="center"/>
    </xf>
    <xf numFmtId="0" fontId="3" fillId="0" borderId="0" xfId="0" applyFont="1">
      <alignment vertical="center"/>
    </xf>
    <xf numFmtId="0" fontId="4" fillId="0" borderId="0" xfId="0" applyFont="1">
      <alignment vertical="center"/>
    </xf>
    <xf numFmtId="0" fontId="3" fillId="2" borderId="0" xfId="0" applyFont="1" applyFill="1">
      <alignment vertical="center"/>
    </xf>
    <xf numFmtId="0" fontId="3" fillId="3" borderId="0" xfId="0" applyFont="1" applyFill="1">
      <alignment vertical="center"/>
    </xf>
    <xf numFmtId="0" fontId="5" fillId="0" borderId="0" xfId="0" applyFont="1">
      <alignment vertical="center"/>
    </xf>
    <xf numFmtId="0" fontId="6" fillId="0" borderId="0" xfId="0" applyFont="1">
      <alignment vertical="center"/>
    </xf>
    <xf numFmtId="0" fontId="3" fillId="0" borderId="0" xfId="0" applyFont="1" applyAlignment="1">
      <alignment horizontal="center" vertical="center" wrapText="1"/>
    </xf>
    <xf numFmtId="0" fontId="8" fillId="0" borderId="0" xfId="0" applyFont="1" applyAlignment="1">
      <alignment horizontal="center" vertical="center" wrapText="1"/>
    </xf>
    <xf numFmtId="0" fontId="3" fillId="4" borderId="0" xfId="0" applyFont="1" applyFill="1">
      <alignment vertical="center"/>
    </xf>
    <xf numFmtId="0" fontId="3" fillId="0" borderId="0" xfId="0" applyFont="1" applyAlignment="1">
      <alignment vertical="top" wrapText="1"/>
    </xf>
    <xf numFmtId="0" fontId="5" fillId="0" borderId="0" xfId="0" applyFont="1" applyAlignment="1">
      <alignment vertical="top" wrapText="1"/>
    </xf>
    <xf numFmtId="0" fontId="12" fillId="0" borderId="0" xfId="0" applyFont="1" applyAlignment="1">
      <alignment vertical="top" wrapText="1"/>
    </xf>
    <xf numFmtId="0" fontId="13" fillId="5" borderId="1" xfId="0" applyFont="1" applyFill="1" applyBorder="1">
      <alignment vertical="center"/>
    </xf>
    <xf numFmtId="0" fontId="13" fillId="5" borderId="2" xfId="0" applyFont="1" applyFill="1" applyBorder="1">
      <alignment vertical="center"/>
    </xf>
    <xf numFmtId="0" fontId="3" fillId="6" borderId="0" xfId="0" applyFont="1" applyFill="1">
      <alignment vertical="center"/>
    </xf>
    <xf numFmtId="0" fontId="13" fillId="0" borderId="1" xfId="0" applyFont="1" applyBorder="1">
      <alignment vertical="center"/>
    </xf>
    <xf numFmtId="0" fontId="13" fillId="3" borderId="2" xfId="0" applyFont="1" applyFill="1" applyBorder="1">
      <alignment vertical="center"/>
    </xf>
    <xf numFmtId="0" fontId="13" fillId="0" borderId="0" xfId="0" applyFont="1">
      <alignment vertical="center"/>
    </xf>
    <xf numFmtId="0" fontId="14" fillId="0" borderId="0" xfId="0" applyFont="1" applyAlignment="1">
      <alignment horizontal="center" vertical="center" wrapText="1"/>
    </xf>
    <xf numFmtId="0" fontId="3" fillId="7" borderId="3" xfId="0" applyFont="1" applyFill="1" applyBorder="1">
      <alignment vertical="center"/>
    </xf>
    <xf numFmtId="0" fontId="8" fillId="5" borderId="3" xfId="0" applyFont="1" applyFill="1" applyBorder="1" applyAlignment="1">
      <alignment horizontal="center" vertical="center" wrapText="1"/>
    </xf>
    <xf numFmtId="0" fontId="10" fillId="0" borderId="0" xfId="0" applyFont="1">
      <alignment vertical="center"/>
    </xf>
    <xf numFmtId="0" fontId="3" fillId="0" borderId="0" xfId="0" applyFont="1" applyAlignment="1">
      <alignment horizontal="center" vertical="center"/>
    </xf>
    <xf numFmtId="0" fontId="3" fillId="0" borderId="0" xfId="0" applyNumberFormat="1" applyFont="1">
      <alignment vertical="center"/>
    </xf>
    <xf numFmtId="0" fontId="3" fillId="0" borderId="0" xfId="0" applyFont="1" applyAlignment="1">
      <alignment horizontal="right" vertical="center"/>
    </xf>
    <xf numFmtId="0" fontId="0" fillId="0" borderId="0" xfId="0" applyAlignment="1">
      <alignment horizontal="right" vertical="center"/>
    </xf>
    <xf numFmtId="0" fontId="4" fillId="0" borderId="0" xfId="0" applyFont="1" applyAlignment="1">
      <alignment horizontal="right" vertical="center"/>
    </xf>
    <xf numFmtId="0" fontId="3" fillId="7" borderId="3" xfId="0" applyNumberFormat="1" applyFont="1" applyFill="1" applyBorder="1">
      <alignment vertical="center"/>
    </xf>
    <xf numFmtId="0" fontId="6" fillId="4" borderId="0" xfId="0" applyFont="1" applyFill="1">
      <alignment vertical="center"/>
    </xf>
    <xf numFmtId="0" fontId="3" fillId="0" borderId="0" xfId="0" applyFont="1" applyFill="1">
      <alignment vertical="center"/>
    </xf>
    <xf numFmtId="0" fontId="0" fillId="0" borderId="0" xfId="0" applyFill="1">
      <alignment vertical="center"/>
    </xf>
    <xf numFmtId="12" fontId="3" fillId="0" borderId="0" xfId="0" applyNumberFormat="1" applyFont="1">
      <alignment vertical="center"/>
    </xf>
    <xf numFmtId="12" fontId="3" fillId="0" borderId="0" xfId="0" applyNumberFormat="1" applyFont="1" applyFill="1">
      <alignment vertical="center"/>
    </xf>
    <xf numFmtId="0" fontId="3" fillId="7" borderId="1" xfId="0" applyNumberFormat="1" applyFont="1" applyFill="1" applyBorder="1">
      <alignment vertical="center"/>
    </xf>
    <xf numFmtId="0" fontId="3" fillId="7" borderId="4" xfId="0" applyNumberFormat="1" applyFont="1" applyFill="1" applyBorder="1">
      <alignment vertical="center"/>
    </xf>
  </cellXfs>
  <cellStyles count="1">
    <cellStyle name="一般" xfId="0" builtinId="0"/>
  </cellStyles>
  <dxfs count="38">
    <dxf>
      <font>
        <b val="0"/>
        <i val="0"/>
        <strike val="0"/>
        <condense val="0"/>
        <extend val="0"/>
        <outline val="0"/>
        <shadow val="0"/>
        <u val="none"/>
        <vertAlign val="baseline"/>
        <sz val="12"/>
        <color theme="1"/>
        <name val="Calibri"/>
        <family val="2"/>
        <scheme val="none"/>
      </font>
      <numFmt numFmtId="0" formatCode="General"/>
    </dxf>
    <dxf>
      <font>
        <b val="0"/>
        <i val="0"/>
        <strike val="0"/>
        <condense val="0"/>
        <extend val="0"/>
        <outline val="0"/>
        <shadow val="0"/>
        <u val="none"/>
        <vertAlign val="baseline"/>
        <sz val="12"/>
        <color theme="1"/>
        <name val="Calibri"/>
        <family val="2"/>
        <scheme val="none"/>
      </font>
      <numFmt numFmtId="0" formatCode="General"/>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dxf>
    <dxf>
      <font>
        <b/>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dxf>
    <dxf>
      <font>
        <strike val="0"/>
        <outline val="0"/>
        <shadow val="0"/>
        <u val="none"/>
        <vertAlign val="baseline"/>
        <sz val="12"/>
        <color theme="1"/>
        <name val="Calibri"/>
        <family val="2"/>
        <scheme val="none"/>
      </font>
      <alignment horizontal="right" vertical="center" textRotation="0" wrapText="0" indent="0" justifyLastLine="0" shrinkToFit="0" readingOrder="0"/>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dxf>
    <dxf>
      <font>
        <b/>
        <i val="0"/>
        <strike val="0"/>
        <condense val="0"/>
        <extend val="0"/>
        <outline val="0"/>
        <shadow val="0"/>
        <u val="none"/>
        <vertAlign val="baseline"/>
        <sz val="12"/>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57552F-D026-4EAF-97C3-52DD25EAFC9C}" name="表格1" displayName="表格1" ref="A3:N261" totalsRowShown="0" headerRowDxfId="37" dataDxfId="36">
  <autoFilter ref="A3:N261" xr:uid="{DE57552F-D026-4EAF-97C3-52DD25EAFC9C}">
    <filterColumn colId="3">
      <filters>
        <filter val="水牛蘑菇"/>
        <filter val="牛大力土茯苓湯"/>
        <filter val="牛丼"/>
        <filter val="牛奶"/>
        <filter val="牛奶凍"/>
        <filter val="牛油果西多士"/>
        <filter val="金菇肥牛卷"/>
        <filter val="煎牛扒"/>
        <filter val="窩蛋牛肉煲仔飯"/>
        <filter val="韓式海帶芽牛肉湯"/>
      </filters>
    </filterColumn>
  </autoFilter>
  <sortState xmlns:xlrd2="http://schemas.microsoft.com/office/spreadsheetml/2017/richdata2" ref="A4:J97">
    <sortCondition ref="B3:B97"/>
  </sortState>
  <tableColumns count="14">
    <tableColumn id="3" xr3:uid="{9F4CF7F5-2A93-4AB2-B6A9-ADD9938F5AA8}" name="ID" dataDxfId="35"/>
    <tableColumn id="1" xr3:uid="{2F06CBD1-1A4C-4DC5-BCE4-F3C9A79DC3E9}" name="Cuisine" dataDxfId="34"/>
    <tableColumn id="2" xr3:uid="{7EC406AA-A572-4016-9E5B-51B700036584}" name="Diet" dataDxfId="33"/>
    <tableColumn id="9" xr3:uid="{D9CE8FCA-CFAD-4F3F-8F01-0C4484946BEA}" name="Dish" dataDxfId="32"/>
    <tableColumn id="10" xr3:uid="{673F4675-BEEE-412A-A6CB-20E6D1E799D8}" name="Breakfast" dataDxfId="31"/>
    <tableColumn id="12" xr3:uid="{D37C5B0D-12C6-4CB3-BB80-08C12E6E49B6}" name="Lunch" dataDxfId="30"/>
    <tableColumn id="13" xr3:uid="{E25F656B-1F18-455E-87D7-5C9D9B0097A5}" name="Dinner" dataDxfId="29"/>
    <tableColumn id="17" xr3:uid="{BA985DFD-A4E6-404F-8823-002672B31C18}" name="Light Meal" dataDxfId="28"/>
    <tableColumn id="5" xr3:uid="{A034FE6E-ED0A-4EFB-8D1C-030735AED3C9}" name="Main Protein" dataDxfId="27"/>
    <tableColumn id="6" xr3:uid="{AA4E79D0-DAC8-43FF-A045-39E8C3C9F5CD}" name="Dish Role" dataDxfId="26"/>
    <tableColumn id="15" xr3:uid="{3C0D36C0-00D9-469A-9A08-C9CBF82D88AE}" name="Taste" dataDxfId="25"/>
    <tableColumn id="7" xr3:uid="{23809AC8-474B-40F8-84CF-2D42F7BE1C9D}" name="Expire(day)" dataDxfId="24"/>
    <tableColumn id="8" xr3:uid="{FA20BD4E-AF4A-4273-8F29-845E2CF561A3}" name="Season" dataDxfId="23"/>
    <tableColumn id="4" xr3:uid="{63A3F435-6F07-4F3F-B146-E824E495A1E4}" name="Credit to"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6439F3-B3A1-473D-9915-B886E9B53018}" name="Ingredient" displayName="Ingredient" ref="A1:F210" totalsRowShown="0" headerRowDxfId="21" dataDxfId="20">
  <autoFilter ref="A1:F210" xr:uid="{F96439F3-B3A1-473D-9915-B886E9B53018}"/>
  <tableColumns count="6">
    <tableColumn id="6" xr3:uid="{58A7CCA8-AF26-4A8B-A664-D4C96E7F3BA0}" name="菜名" dataDxfId="19">
      <calculatedColumnFormula>_xlfn.XLOOKUP(B2,表格1[ID],表格1[Dish])</calculatedColumnFormula>
    </tableColumn>
    <tableColumn id="1" xr3:uid="{A6A630D5-6539-4FF3-B245-912977C8CE8E}" name="菜ID" dataDxfId="18"/>
    <tableColumn id="2" xr3:uid="{7FF92CF3-2FA9-443E-A760-2445AFCE472F}" name="類別" dataDxfId="17"/>
    <tableColumn id="3" xr3:uid="{B6463011-9D01-408A-B1FD-EFFF47425583}" name="材料" dataDxfId="16"/>
    <tableColumn id="4" xr3:uid="{D7F5CA09-47D7-42CF-A952-E2A34C8C4E30}" name="份量" dataDxfId="14"/>
    <tableColumn id="5" xr3:uid="{5A3FFFB1-F501-42BF-9602-AEB98CE8DA0C}" name="單位"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74EDE5-B150-4BED-8B77-BE077FDDFB58}" name="Steps" displayName="Steps" ref="A1:G102" totalsRowShown="0" headerRowDxfId="13" dataDxfId="12">
  <autoFilter ref="A1:G102" xr:uid="{2074EDE5-B150-4BED-8B77-BE077FDDFB58}"/>
  <tableColumns count="7">
    <tableColumn id="7" xr3:uid="{8937EE16-F967-45A6-AF51-C240F6B491BF}" name="菜名" dataDxfId="11">
      <calculatedColumnFormula>_xlfn.XLOOKUP(B2,表格1[ID],表格1[Dish])</calculatedColumnFormula>
    </tableColumn>
    <tableColumn id="1" xr3:uid="{AC7DEC1F-B731-454F-AA1D-E750167F5368}" name="菜ID" dataDxfId="10"/>
    <tableColumn id="2" xr3:uid="{2744473D-171F-4C43-A114-19D6A681227C}" name="步驟" dataDxfId="9"/>
    <tableColumn id="3" xr3:uid="{20B9130A-A6FF-4BB1-87D8-CC9721812699}" name="內容" dataDxfId="8"/>
    <tableColumn id="4" xr3:uid="{411CC2E6-8569-4ECA-98BF-CCC04F47DC15}" name="Step_EN" dataDxfId="7">
      <calculatedColumnFormula>_xlfn.TRANSLATE(Steps[[#This Row],[內容]],"zh-cht","en")</calculatedColumnFormula>
    </tableColumn>
    <tableColumn id="5" xr3:uid="{22A65150-E75D-4C7D-8847-4B10A2AB24D8}" name="Step_FIL" dataDxfId="6">
      <calculatedColumnFormula>_xlfn.TRANSLATE(Steps[[#This Row],[內容]],"zh-cht","fil")</calculatedColumnFormula>
    </tableColumn>
    <tableColumn id="6" xr3:uid="{35BFC7E5-F93E-4F1D-8329-895464FC606A}" name="Step_ID" dataDxfId="5">
      <calculatedColumnFormula>_xlfn.TRANSLATE(Steps[[#This Row],[內容]],"zh-cht","id")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3EB78-A9E2-4560-A3F8-B02077E7EB70}" name="ingredient_unit" displayName="ingredient_unit" ref="A3:D100" totalsRowShown="0" headerRowDxfId="4" dataDxfId="3">
  <autoFilter ref="A3:D100" xr:uid="{9B73EB78-A9E2-4560-A3F8-B02077E7EB70}"/>
  <sortState xmlns:xlrd2="http://schemas.microsoft.com/office/spreadsheetml/2017/richdata2" ref="A4:D52">
    <sortCondition ref="A3:A52"/>
  </sortState>
  <tableColumns count="4">
    <tableColumn id="1" xr3:uid="{D45EE57C-5C1F-42B3-A305-D4C61E8DF2E9}" name="材料"/>
    <tableColumn id="2" xr3:uid="{C40C7E82-CCDD-408C-84C3-2A14B1ABC4C5}" name="英文" dataDxfId="2"/>
    <tableColumn id="3" xr3:uid="{6E0DB701-5A73-4C5B-A78A-67E14A93CA5C}" name="Filipino" dataDxfId="1">
      <calculatedColumnFormula>_xlfn.TRANSLATE(ingredient_unit[[#This Row],[材料]],"zh-cht","fil")</calculatedColumnFormula>
    </tableColumn>
    <tableColumn id="4" xr3:uid="{DB27FC22-78DB-4C93-BC55-A2A340CDB570}" name="Bahasa" dataDxfId="0">
      <calculatedColumnFormula>_xlfn.TRANSLATE(ingredient_unit[[#This Row],[材料]],"zh-cht","id")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12AC-E9BF-454E-9D30-1552A11FEC1A}">
  <dimension ref="A1:P261"/>
  <sheetViews>
    <sheetView tabSelected="1" zoomScale="85" zoomScaleNormal="85" workbookViewId="0">
      <pane ySplit="3" topLeftCell="A27" activePane="bottomLeft" state="frozen"/>
      <selection pane="bottomLeft" activeCell="D134" sqref="D134"/>
    </sheetView>
  </sheetViews>
  <sheetFormatPr defaultRowHeight="17" x14ac:dyDescent="0.4"/>
  <cols>
    <col min="1" max="1" width="11" style="1" bestFit="1" customWidth="1"/>
    <col min="2" max="2" width="10.1796875" style="1" bestFit="1" customWidth="1"/>
    <col min="3" max="3" width="10" style="1" bestFit="1" customWidth="1"/>
    <col min="4" max="4" width="33.54296875" style="1" bestFit="1" customWidth="1"/>
    <col min="5" max="5" width="12.6328125" style="1" bestFit="1" customWidth="1"/>
    <col min="6" max="7" width="10" style="1" customWidth="1"/>
    <col min="8" max="8" width="13.08984375" style="1" bestFit="1" customWidth="1"/>
    <col min="9" max="9" width="13.453125" style="1" bestFit="1" customWidth="1"/>
    <col min="10" max="10" width="10.54296875" style="1" bestFit="1" customWidth="1"/>
    <col min="11" max="12" width="8.7265625" style="1"/>
    <col min="13" max="13" width="13.36328125" style="1" bestFit="1" customWidth="1"/>
    <col min="14" max="14" width="26.54296875" style="1" bestFit="1" customWidth="1"/>
    <col min="16" max="16384" width="8.7265625" style="1"/>
  </cols>
  <sheetData>
    <row r="1" spans="1:14" x14ac:dyDescent="0.4">
      <c r="A1" s="9" t="s">
        <v>331</v>
      </c>
      <c r="B1" s="1" t="s">
        <v>0</v>
      </c>
      <c r="C1" s="5" t="s">
        <v>116</v>
      </c>
      <c r="D1" s="1" t="s">
        <v>2</v>
      </c>
      <c r="E1" s="23" t="s">
        <v>21</v>
      </c>
      <c r="F1" s="23"/>
      <c r="G1" s="23"/>
      <c r="H1" s="23"/>
      <c r="I1" s="2" t="s">
        <v>122</v>
      </c>
      <c r="J1" s="2" t="s">
        <v>123</v>
      </c>
      <c r="K1" s="2" t="s">
        <v>546</v>
      </c>
      <c r="M1" s="2" t="s">
        <v>118</v>
      </c>
      <c r="N1" s="2"/>
    </row>
    <row r="2" spans="1:14" x14ac:dyDescent="0.4">
      <c r="H2" s="2" t="s">
        <v>112</v>
      </c>
    </row>
    <row r="3" spans="1:14" x14ac:dyDescent="0.4">
      <c r="A3" s="1" t="s">
        <v>701</v>
      </c>
      <c r="B3" s="1" t="s">
        <v>702</v>
      </c>
      <c r="C3" s="4" t="s">
        <v>115</v>
      </c>
      <c r="D3" s="15" t="s">
        <v>1</v>
      </c>
      <c r="E3" s="3" t="s">
        <v>22</v>
      </c>
      <c r="F3" s="3" t="s">
        <v>23</v>
      </c>
      <c r="G3" s="3" t="s">
        <v>24</v>
      </c>
      <c r="H3" s="3" t="s">
        <v>113</v>
      </c>
      <c r="I3" s="1" t="s">
        <v>127</v>
      </c>
      <c r="J3" s="1" t="s">
        <v>126</v>
      </c>
      <c r="K3" s="1" t="s">
        <v>547</v>
      </c>
      <c r="L3" s="1" t="s">
        <v>528</v>
      </c>
      <c r="M3" s="1" t="s">
        <v>117</v>
      </c>
      <c r="N3" s="1" t="s">
        <v>696</v>
      </c>
    </row>
    <row r="4" spans="1:14" hidden="1" x14ac:dyDescent="0.4">
      <c r="A4" s="9" t="s">
        <v>129</v>
      </c>
      <c r="B4" s="1" t="s">
        <v>3</v>
      </c>
      <c r="C4" s="2" t="s">
        <v>114</v>
      </c>
      <c r="D4" s="1" t="s">
        <v>4</v>
      </c>
      <c r="E4" s="1" t="s">
        <v>554</v>
      </c>
      <c r="F4" s="1" t="s">
        <v>6</v>
      </c>
      <c r="G4" s="1" t="s">
        <v>6</v>
      </c>
      <c r="H4" s="1" t="s">
        <v>7</v>
      </c>
      <c r="I4" s="2" t="s">
        <v>230</v>
      </c>
      <c r="J4" s="2" t="s">
        <v>229</v>
      </c>
      <c r="K4" s="1" t="s">
        <v>550</v>
      </c>
      <c r="M4" s="2" t="s">
        <v>119</v>
      </c>
    </row>
    <row r="5" spans="1:14" hidden="1" x14ac:dyDescent="0.4">
      <c r="A5" s="1" t="s">
        <v>130</v>
      </c>
      <c r="B5" s="1" t="s">
        <v>3</v>
      </c>
      <c r="C5" s="1" t="s">
        <v>18</v>
      </c>
      <c r="D5" s="1" t="s">
        <v>8</v>
      </c>
      <c r="E5" s="1" t="s">
        <v>554</v>
      </c>
      <c r="F5" s="1" t="s">
        <v>6</v>
      </c>
      <c r="G5" s="1" t="s">
        <v>6</v>
      </c>
      <c r="H5" s="1" t="s">
        <v>7</v>
      </c>
      <c r="I5" s="2" t="s">
        <v>231</v>
      </c>
      <c r="J5" s="2" t="s">
        <v>249</v>
      </c>
      <c r="K5" s="1" t="s">
        <v>550</v>
      </c>
      <c r="M5" s="2" t="s">
        <v>119</v>
      </c>
    </row>
    <row r="6" spans="1:14" hidden="1" x14ac:dyDescent="0.4">
      <c r="A6" s="1" t="s">
        <v>131</v>
      </c>
      <c r="B6" s="1" t="s">
        <v>3</v>
      </c>
      <c r="C6" s="2" t="s">
        <v>114</v>
      </c>
      <c r="D6" s="1" t="s">
        <v>9</v>
      </c>
      <c r="E6" s="1" t="s">
        <v>554</v>
      </c>
      <c r="F6" s="1" t="s">
        <v>6</v>
      </c>
      <c r="G6" s="1" t="s">
        <v>6</v>
      </c>
      <c r="H6" s="1" t="s">
        <v>7</v>
      </c>
      <c r="I6" s="2" t="s">
        <v>231</v>
      </c>
      <c r="J6" s="2" t="s">
        <v>249</v>
      </c>
      <c r="K6" s="1" t="s">
        <v>550</v>
      </c>
      <c r="M6" s="2" t="s">
        <v>119</v>
      </c>
    </row>
    <row r="7" spans="1:14" hidden="1" x14ac:dyDescent="0.4">
      <c r="A7" s="1" t="s">
        <v>132</v>
      </c>
      <c r="B7" s="1" t="s">
        <v>3</v>
      </c>
      <c r="C7" s="2" t="s">
        <v>114</v>
      </c>
      <c r="D7" s="1" t="s">
        <v>10</v>
      </c>
      <c r="E7" s="1" t="s">
        <v>554</v>
      </c>
      <c r="F7" s="1" t="s">
        <v>7</v>
      </c>
      <c r="G7" s="1" t="s">
        <v>6</v>
      </c>
      <c r="H7" s="1" t="s">
        <v>7</v>
      </c>
      <c r="I7" s="2" t="s">
        <v>232</v>
      </c>
      <c r="J7" s="2" t="s">
        <v>229</v>
      </c>
      <c r="K7" s="1" t="s">
        <v>548</v>
      </c>
      <c r="L7" s="1">
        <v>1</v>
      </c>
      <c r="M7" s="2" t="s">
        <v>119</v>
      </c>
    </row>
    <row r="8" spans="1:14" hidden="1" x14ac:dyDescent="0.4">
      <c r="A8" s="1" t="s">
        <v>133</v>
      </c>
      <c r="B8" s="1" t="s">
        <v>3</v>
      </c>
      <c r="C8" s="2" t="s">
        <v>114</v>
      </c>
      <c r="D8" s="1" t="s">
        <v>11</v>
      </c>
      <c r="E8" s="1" t="s">
        <v>554</v>
      </c>
      <c r="F8" s="1" t="s">
        <v>6</v>
      </c>
      <c r="G8" s="1" t="s">
        <v>6</v>
      </c>
      <c r="H8" s="1" t="s">
        <v>7</v>
      </c>
      <c r="I8" s="2" t="s">
        <v>232</v>
      </c>
      <c r="J8" s="2" t="s">
        <v>229</v>
      </c>
      <c r="K8" s="1" t="s">
        <v>550</v>
      </c>
      <c r="M8" s="2" t="s">
        <v>119</v>
      </c>
    </row>
    <row r="9" spans="1:14" hidden="1" x14ac:dyDescent="0.4">
      <c r="A9" s="9" t="s">
        <v>134</v>
      </c>
      <c r="B9" s="1" t="s">
        <v>3</v>
      </c>
      <c r="C9" s="2" t="s">
        <v>114</v>
      </c>
      <c r="D9" s="1" t="s">
        <v>14</v>
      </c>
      <c r="E9" s="1" t="s">
        <v>554</v>
      </c>
      <c r="F9" s="1" t="s">
        <v>6</v>
      </c>
      <c r="G9" s="1" t="s">
        <v>6</v>
      </c>
      <c r="H9" s="1" t="s">
        <v>7</v>
      </c>
      <c r="I9" s="2" t="s">
        <v>251</v>
      </c>
      <c r="J9" s="2" t="s">
        <v>249</v>
      </c>
      <c r="K9" s="1" t="s">
        <v>548</v>
      </c>
      <c r="L9" s="1">
        <v>2</v>
      </c>
      <c r="M9" s="2" t="s">
        <v>119</v>
      </c>
    </row>
    <row r="10" spans="1:14" hidden="1" x14ac:dyDescent="0.4">
      <c r="A10" s="9" t="s">
        <v>135</v>
      </c>
      <c r="B10" s="1" t="s">
        <v>3</v>
      </c>
      <c r="C10" s="1" t="s">
        <v>17</v>
      </c>
      <c r="D10" s="1" t="s">
        <v>15</v>
      </c>
      <c r="E10" s="1" t="s">
        <v>554</v>
      </c>
      <c r="F10" s="1" t="s">
        <v>6</v>
      </c>
      <c r="G10" s="1" t="s">
        <v>6</v>
      </c>
      <c r="H10" s="1" t="s">
        <v>7</v>
      </c>
      <c r="I10" s="2" t="s">
        <v>252</v>
      </c>
      <c r="J10" s="2" t="s">
        <v>249</v>
      </c>
      <c r="K10" s="1" t="s">
        <v>552</v>
      </c>
      <c r="M10" s="2" t="s">
        <v>119</v>
      </c>
    </row>
    <row r="11" spans="1:14" hidden="1" x14ac:dyDescent="0.4">
      <c r="A11" s="9" t="s">
        <v>136</v>
      </c>
      <c r="B11" s="1" t="s">
        <v>3</v>
      </c>
      <c r="C11" s="1" t="s">
        <v>18</v>
      </c>
      <c r="D11" s="1" t="s">
        <v>16</v>
      </c>
      <c r="E11" s="1" t="s">
        <v>554</v>
      </c>
      <c r="F11" s="1" t="s">
        <v>6</v>
      </c>
      <c r="G11" s="1" t="s">
        <v>6</v>
      </c>
      <c r="H11" s="1" t="s">
        <v>7</v>
      </c>
      <c r="I11" s="2" t="s">
        <v>231</v>
      </c>
      <c r="J11" s="2" t="s">
        <v>467</v>
      </c>
      <c r="K11" s="1" t="s">
        <v>548</v>
      </c>
      <c r="M11" s="2" t="s">
        <v>119</v>
      </c>
    </row>
    <row r="12" spans="1:14" hidden="1" x14ac:dyDescent="0.4">
      <c r="A12" s="1" t="s">
        <v>137</v>
      </c>
      <c r="B12" s="1" t="s">
        <v>3</v>
      </c>
      <c r="C12" s="1" t="s">
        <v>18</v>
      </c>
      <c r="D12" s="1" t="s">
        <v>31</v>
      </c>
      <c r="E12" s="1" t="s">
        <v>554</v>
      </c>
      <c r="F12" s="1" t="s">
        <v>7</v>
      </c>
      <c r="G12" s="1" t="s">
        <v>6</v>
      </c>
      <c r="H12" s="1" t="s">
        <v>6</v>
      </c>
      <c r="I12" s="2" t="s">
        <v>251</v>
      </c>
      <c r="J12" s="2" t="s">
        <v>250</v>
      </c>
      <c r="K12" s="1" t="s">
        <v>554</v>
      </c>
      <c r="M12" s="2" t="s">
        <v>120</v>
      </c>
    </row>
    <row r="13" spans="1:14" hidden="1" x14ac:dyDescent="0.4">
      <c r="A13" s="9" t="s">
        <v>138</v>
      </c>
      <c r="B13" s="1" t="s">
        <v>3</v>
      </c>
      <c r="C13" s="2" t="s">
        <v>114</v>
      </c>
      <c r="D13" s="1" t="s">
        <v>37</v>
      </c>
      <c r="E13" s="1" t="s">
        <v>554</v>
      </c>
      <c r="F13" s="1" t="s">
        <v>7</v>
      </c>
      <c r="G13" s="1" t="s">
        <v>6</v>
      </c>
      <c r="H13" s="1" t="s">
        <v>7</v>
      </c>
      <c r="I13" s="2" t="s">
        <v>232</v>
      </c>
      <c r="J13" s="2" t="s">
        <v>229</v>
      </c>
      <c r="K13" s="1" t="s">
        <v>548</v>
      </c>
      <c r="M13" s="2" t="s">
        <v>120</v>
      </c>
    </row>
    <row r="14" spans="1:14" hidden="1" x14ac:dyDescent="0.4">
      <c r="A14" s="9" t="s">
        <v>139</v>
      </c>
      <c r="B14" s="1" t="s">
        <v>3</v>
      </c>
      <c r="C14" s="2" t="s">
        <v>114</v>
      </c>
      <c r="D14" s="1" t="s">
        <v>38</v>
      </c>
      <c r="E14" s="1" t="s">
        <v>554</v>
      </c>
      <c r="F14" s="1" t="s">
        <v>6</v>
      </c>
      <c r="G14" s="1" t="s">
        <v>6</v>
      </c>
      <c r="H14" s="1" t="s">
        <v>7</v>
      </c>
      <c r="I14" s="2" t="s">
        <v>233</v>
      </c>
      <c r="J14" s="2" t="s">
        <v>249</v>
      </c>
      <c r="K14" s="1" t="s">
        <v>548</v>
      </c>
      <c r="M14" s="2" t="s">
        <v>119</v>
      </c>
    </row>
    <row r="15" spans="1:14" hidden="1" x14ac:dyDescent="0.4">
      <c r="A15" s="9" t="s">
        <v>140</v>
      </c>
      <c r="B15" s="1" t="s">
        <v>3</v>
      </c>
      <c r="C15" s="1" t="s">
        <v>17</v>
      </c>
      <c r="D15" s="1" t="s">
        <v>39</v>
      </c>
      <c r="E15" s="1" t="s">
        <v>554</v>
      </c>
      <c r="F15" s="1" t="s">
        <v>6</v>
      </c>
      <c r="G15" s="1" t="s">
        <v>6</v>
      </c>
      <c r="H15" s="1" t="s">
        <v>7</v>
      </c>
      <c r="I15" s="2" t="s">
        <v>252</v>
      </c>
      <c r="J15" s="2" t="s">
        <v>249</v>
      </c>
      <c r="K15" s="1" t="s">
        <v>548</v>
      </c>
      <c r="M15" s="2" t="s">
        <v>121</v>
      </c>
    </row>
    <row r="16" spans="1:14" hidden="1" x14ac:dyDescent="0.4">
      <c r="A16" s="9" t="s">
        <v>141</v>
      </c>
      <c r="B16" s="1" t="s">
        <v>3</v>
      </c>
      <c r="C16" s="1" t="s">
        <v>17</v>
      </c>
      <c r="D16" s="1" t="s">
        <v>40</v>
      </c>
      <c r="E16" s="1" t="s">
        <v>554</v>
      </c>
      <c r="F16" s="1" t="s">
        <v>6</v>
      </c>
      <c r="G16" s="1" t="s">
        <v>6</v>
      </c>
      <c r="H16" s="1" t="s">
        <v>7</v>
      </c>
      <c r="I16" s="2" t="s">
        <v>252</v>
      </c>
      <c r="J16" s="2" t="s">
        <v>249</v>
      </c>
      <c r="K16" s="1" t="s">
        <v>550</v>
      </c>
      <c r="M16" s="2" t="s">
        <v>121</v>
      </c>
    </row>
    <row r="17" spans="1:13" hidden="1" x14ac:dyDescent="0.4">
      <c r="A17" s="9" t="s">
        <v>142</v>
      </c>
      <c r="B17" s="1" t="s">
        <v>3</v>
      </c>
      <c r="C17" s="2" t="s">
        <v>114</v>
      </c>
      <c r="D17" s="1" t="s">
        <v>41</v>
      </c>
      <c r="E17" s="1" t="s">
        <v>554</v>
      </c>
      <c r="F17" s="1" t="s">
        <v>6</v>
      </c>
      <c r="G17" s="1" t="s">
        <v>6</v>
      </c>
      <c r="H17" s="1" t="s">
        <v>7</v>
      </c>
      <c r="I17" s="2" t="s">
        <v>233</v>
      </c>
      <c r="J17" s="2" t="s">
        <v>249</v>
      </c>
      <c r="K17" s="1" t="s">
        <v>548</v>
      </c>
      <c r="M17" s="2" t="s">
        <v>121</v>
      </c>
    </row>
    <row r="18" spans="1:13" hidden="1" x14ac:dyDescent="0.4">
      <c r="A18" s="1" t="s">
        <v>143</v>
      </c>
      <c r="B18" s="1" t="s">
        <v>3</v>
      </c>
      <c r="C18" s="2" t="s">
        <v>114</v>
      </c>
      <c r="D18" s="1" t="s">
        <v>42</v>
      </c>
      <c r="E18" s="1" t="s">
        <v>554</v>
      </c>
      <c r="F18" s="1" t="s">
        <v>7</v>
      </c>
      <c r="G18" s="1" t="s">
        <v>6</v>
      </c>
      <c r="H18" s="1" t="s">
        <v>7</v>
      </c>
      <c r="I18" s="2" t="s">
        <v>230</v>
      </c>
      <c r="J18" s="2" t="s">
        <v>464</v>
      </c>
      <c r="K18" s="1" t="s">
        <v>554</v>
      </c>
    </row>
    <row r="19" spans="1:13" hidden="1" x14ac:dyDescent="0.4">
      <c r="A19" s="1" t="s">
        <v>144</v>
      </c>
      <c r="B19" s="1" t="s">
        <v>3</v>
      </c>
      <c r="C19" s="2" t="s">
        <v>114</v>
      </c>
      <c r="D19" s="1" t="s">
        <v>43</v>
      </c>
      <c r="E19" s="1" t="s">
        <v>554</v>
      </c>
      <c r="F19" s="1" t="s">
        <v>7</v>
      </c>
      <c r="G19" s="1" t="s">
        <v>6</v>
      </c>
      <c r="H19" s="1" t="s">
        <v>7</v>
      </c>
      <c r="I19" s="2" t="s">
        <v>230</v>
      </c>
      <c r="J19" s="2" t="s">
        <v>464</v>
      </c>
      <c r="K19" s="1" t="s">
        <v>554</v>
      </c>
    </row>
    <row r="20" spans="1:13" hidden="1" x14ac:dyDescent="0.4">
      <c r="A20" s="1" t="s">
        <v>145</v>
      </c>
      <c r="B20" s="1" t="s">
        <v>3</v>
      </c>
      <c r="C20" s="2" t="s">
        <v>114</v>
      </c>
      <c r="D20" s="1" t="s">
        <v>44</v>
      </c>
      <c r="E20" s="1" t="s">
        <v>554</v>
      </c>
      <c r="F20" s="1" t="s">
        <v>7</v>
      </c>
      <c r="G20" s="1" t="s">
        <v>6</v>
      </c>
      <c r="H20" s="1" t="s">
        <v>7</v>
      </c>
      <c r="I20" s="2" t="s">
        <v>230</v>
      </c>
      <c r="J20" s="2" t="s">
        <v>464</v>
      </c>
      <c r="K20" s="1" t="s">
        <v>554</v>
      </c>
    </row>
    <row r="21" spans="1:13" hidden="1" x14ac:dyDescent="0.4">
      <c r="A21" s="1" t="s">
        <v>146</v>
      </c>
      <c r="B21" s="1" t="s">
        <v>3</v>
      </c>
      <c r="C21" s="2" t="s">
        <v>114</v>
      </c>
      <c r="D21" s="1" t="s">
        <v>45</v>
      </c>
      <c r="E21" s="1" t="s">
        <v>554</v>
      </c>
      <c r="F21" s="1" t="s">
        <v>7</v>
      </c>
      <c r="G21" s="1" t="s">
        <v>6</v>
      </c>
      <c r="H21" s="1" t="s">
        <v>6</v>
      </c>
      <c r="I21" s="2" t="s">
        <v>230</v>
      </c>
      <c r="J21" s="2" t="s">
        <v>464</v>
      </c>
      <c r="K21" s="1" t="s">
        <v>554</v>
      </c>
    </row>
    <row r="22" spans="1:13" hidden="1" x14ac:dyDescent="0.4">
      <c r="A22" s="9" t="s">
        <v>147</v>
      </c>
      <c r="B22" s="1" t="s">
        <v>3</v>
      </c>
      <c r="C22" s="1" t="s">
        <v>18</v>
      </c>
      <c r="D22" s="1" t="s">
        <v>46</v>
      </c>
      <c r="E22" s="1" t="s">
        <v>554</v>
      </c>
      <c r="F22" s="1" t="s">
        <v>6</v>
      </c>
      <c r="G22" s="1" t="s">
        <v>6</v>
      </c>
      <c r="H22" s="1" t="s">
        <v>7</v>
      </c>
      <c r="I22" s="2" t="s">
        <v>253</v>
      </c>
      <c r="J22" s="2" t="s">
        <v>250</v>
      </c>
      <c r="K22" s="1" t="s">
        <v>554</v>
      </c>
    </row>
    <row r="23" spans="1:13" hidden="1" x14ac:dyDescent="0.4">
      <c r="A23" s="9" t="s">
        <v>148</v>
      </c>
      <c r="B23" s="1" t="s">
        <v>3</v>
      </c>
      <c r="C23" s="2" t="s">
        <v>114</v>
      </c>
      <c r="D23" s="1" t="s">
        <v>47</v>
      </c>
      <c r="E23" s="1" t="s">
        <v>554</v>
      </c>
      <c r="F23" s="1" t="s">
        <v>6</v>
      </c>
      <c r="G23" s="1" t="s">
        <v>6</v>
      </c>
      <c r="H23" s="1" t="s">
        <v>7</v>
      </c>
      <c r="I23" s="2" t="s">
        <v>230</v>
      </c>
      <c r="J23" s="2" t="s">
        <v>229</v>
      </c>
      <c r="K23" s="1" t="s">
        <v>548</v>
      </c>
    </row>
    <row r="24" spans="1:13" hidden="1" x14ac:dyDescent="0.4">
      <c r="A24" s="1" t="s">
        <v>149</v>
      </c>
      <c r="B24" s="1" t="s">
        <v>3</v>
      </c>
      <c r="C24" s="2" t="s">
        <v>114</v>
      </c>
      <c r="D24" s="1" t="s">
        <v>48</v>
      </c>
      <c r="E24" s="1" t="s">
        <v>554</v>
      </c>
      <c r="F24" s="1" t="s">
        <v>6</v>
      </c>
      <c r="G24" s="1" t="s">
        <v>6</v>
      </c>
      <c r="H24" s="1" t="s">
        <v>7</v>
      </c>
      <c r="I24" s="2" t="s">
        <v>230</v>
      </c>
      <c r="J24" s="2" t="s">
        <v>249</v>
      </c>
      <c r="K24" s="1" t="s">
        <v>550</v>
      </c>
    </row>
    <row r="25" spans="1:13" hidden="1" x14ac:dyDescent="0.4">
      <c r="A25" s="1" t="s">
        <v>150</v>
      </c>
      <c r="B25" s="1" t="s">
        <v>3</v>
      </c>
      <c r="C25" s="2" t="s">
        <v>114</v>
      </c>
      <c r="D25" s="1" t="s">
        <v>52</v>
      </c>
      <c r="E25" s="1" t="s">
        <v>554</v>
      </c>
      <c r="F25" s="1" t="s">
        <v>6</v>
      </c>
      <c r="G25" s="1" t="s">
        <v>6</v>
      </c>
      <c r="H25" s="1" t="s">
        <v>7</v>
      </c>
      <c r="I25" s="2" t="s">
        <v>234</v>
      </c>
      <c r="J25" s="2" t="s">
        <v>229</v>
      </c>
      <c r="K25" s="1" t="s">
        <v>548</v>
      </c>
      <c r="M25" s="2" t="s">
        <v>120</v>
      </c>
    </row>
    <row r="26" spans="1:13" hidden="1" x14ac:dyDescent="0.4">
      <c r="A26" s="1" t="s">
        <v>151</v>
      </c>
      <c r="B26" s="1" t="s">
        <v>3</v>
      </c>
      <c r="C26" s="2" t="s">
        <v>114</v>
      </c>
      <c r="D26" s="1" t="s">
        <v>53</v>
      </c>
      <c r="E26" s="1" t="s">
        <v>554</v>
      </c>
      <c r="F26" s="1" t="s">
        <v>6</v>
      </c>
      <c r="G26" s="1" t="s">
        <v>6</v>
      </c>
      <c r="H26" s="1" t="s">
        <v>7</v>
      </c>
      <c r="I26" s="2" t="s">
        <v>230</v>
      </c>
      <c r="J26" s="2" t="s">
        <v>229</v>
      </c>
      <c r="K26" s="1" t="s">
        <v>548</v>
      </c>
      <c r="M26" s="2" t="s">
        <v>120</v>
      </c>
    </row>
    <row r="27" spans="1:13" x14ac:dyDescent="0.4">
      <c r="A27" s="1" t="s">
        <v>152</v>
      </c>
      <c r="B27" s="1" t="s">
        <v>3</v>
      </c>
      <c r="C27" s="2" t="s">
        <v>114</v>
      </c>
      <c r="D27" s="6" t="s">
        <v>124</v>
      </c>
      <c r="E27" s="1" t="s">
        <v>554</v>
      </c>
      <c r="F27" s="1" t="s">
        <v>7</v>
      </c>
      <c r="G27" s="1" t="s">
        <v>6</v>
      </c>
      <c r="H27" s="1" t="s">
        <v>7</v>
      </c>
      <c r="I27" s="2" t="s">
        <v>230</v>
      </c>
      <c r="J27" s="2" t="s">
        <v>464</v>
      </c>
      <c r="K27" s="1" t="s">
        <v>554</v>
      </c>
    </row>
    <row r="28" spans="1:13" hidden="1" x14ac:dyDescent="0.4">
      <c r="A28" s="1" t="s">
        <v>153</v>
      </c>
      <c r="B28" s="1" t="s">
        <v>3</v>
      </c>
      <c r="C28" s="2" t="s">
        <v>114</v>
      </c>
      <c r="D28" s="1" t="s">
        <v>61</v>
      </c>
      <c r="E28" s="1" t="s">
        <v>554</v>
      </c>
      <c r="F28" s="1" t="s">
        <v>6</v>
      </c>
      <c r="G28" s="1" t="s">
        <v>6</v>
      </c>
      <c r="H28" s="1" t="s">
        <v>7</v>
      </c>
      <c r="I28" s="2" t="s">
        <v>233</v>
      </c>
      <c r="J28" s="2" t="s">
        <v>229</v>
      </c>
      <c r="K28" s="1" t="s">
        <v>548</v>
      </c>
    </row>
    <row r="29" spans="1:13" hidden="1" x14ac:dyDescent="0.4">
      <c r="A29" s="1" t="s">
        <v>154</v>
      </c>
      <c r="B29" s="1" t="s">
        <v>3</v>
      </c>
      <c r="C29" s="2" t="s">
        <v>461</v>
      </c>
      <c r="D29" s="1" t="s">
        <v>70</v>
      </c>
      <c r="E29" s="1" t="s">
        <v>554</v>
      </c>
      <c r="F29" s="1" t="s">
        <v>6</v>
      </c>
      <c r="G29" s="1" t="s">
        <v>6</v>
      </c>
      <c r="H29" s="1" t="s">
        <v>7</v>
      </c>
      <c r="I29" s="2" t="s">
        <v>252</v>
      </c>
      <c r="J29" s="2" t="s">
        <v>249</v>
      </c>
      <c r="K29" s="1" t="s">
        <v>552</v>
      </c>
    </row>
    <row r="30" spans="1:13" hidden="1" x14ac:dyDescent="0.4">
      <c r="A30" s="1" t="s">
        <v>155</v>
      </c>
      <c r="B30" s="1" t="s">
        <v>3</v>
      </c>
      <c r="C30" s="2" t="s">
        <v>461</v>
      </c>
      <c r="D30" s="1" t="s">
        <v>71</v>
      </c>
      <c r="E30" s="1" t="s">
        <v>554</v>
      </c>
      <c r="F30" s="1" t="s">
        <v>6</v>
      </c>
      <c r="G30" s="1" t="s">
        <v>6</v>
      </c>
      <c r="H30" s="1" t="s">
        <v>7</v>
      </c>
      <c r="I30" s="2" t="s">
        <v>252</v>
      </c>
      <c r="J30" s="2" t="s">
        <v>249</v>
      </c>
      <c r="K30" s="1" t="s">
        <v>548</v>
      </c>
    </row>
    <row r="31" spans="1:13" hidden="1" x14ac:dyDescent="0.4">
      <c r="A31" s="1" t="s">
        <v>156</v>
      </c>
      <c r="B31" s="1" t="s">
        <v>3</v>
      </c>
      <c r="C31" s="2" t="s">
        <v>114</v>
      </c>
      <c r="D31" s="1" t="s">
        <v>73</v>
      </c>
      <c r="E31" s="1" t="s">
        <v>554</v>
      </c>
      <c r="F31" s="1" t="s">
        <v>7</v>
      </c>
      <c r="G31" s="1" t="s">
        <v>6</v>
      </c>
      <c r="H31" s="1" t="s">
        <v>7</v>
      </c>
      <c r="I31" s="2" t="s">
        <v>230</v>
      </c>
      <c r="J31" s="2" t="s">
        <v>229</v>
      </c>
      <c r="K31" s="1" t="s">
        <v>548</v>
      </c>
      <c r="M31" s="2" t="s">
        <v>121</v>
      </c>
    </row>
    <row r="32" spans="1:13" hidden="1" x14ac:dyDescent="0.4">
      <c r="A32" s="1" t="s">
        <v>157</v>
      </c>
      <c r="B32" s="1" t="s">
        <v>3</v>
      </c>
      <c r="C32" s="2" t="s">
        <v>461</v>
      </c>
      <c r="D32" s="1" t="s">
        <v>74</v>
      </c>
      <c r="E32" s="1" t="s">
        <v>554</v>
      </c>
      <c r="F32" s="1" t="s">
        <v>7</v>
      </c>
      <c r="G32" s="1" t="s">
        <v>6</v>
      </c>
      <c r="H32" s="1" t="s">
        <v>7</v>
      </c>
      <c r="I32" s="2" t="s">
        <v>252</v>
      </c>
      <c r="J32" s="2" t="s">
        <v>249</v>
      </c>
      <c r="K32" s="1" t="s">
        <v>550</v>
      </c>
      <c r="M32" s="2" t="s">
        <v>121</v>
      </c>
    </row>
    <row r="33" spans="1:13" hidden="1" x14ac:dyDescent="0.4">
      <c r="A33" s="1" t="s">
        <v>158</v>
      </c>
      <c r="B33" s="1" t="s">
        <v>3</v>
      </c>
      <c r="C33" s="2" t="s">
        <v>114</v>
      </c>
      <c r="D33" s="1" t="s">
        <v>76</v>
      </c>
      <c r="E33" s="1" t="s">
        <v>554</v>
      </c>
      <c r="F33" s="1" t="s">
        <v>6</v>
      </c>
      <c r="G33" s="1" t="s">
        <v>6</v>
      </c>
      <c r="H33" s="1" t="s">
        <v>7</v>
      </c>
      <c r="I33" s="2" t="s">
        <v>233</v>
      </c>
      <c r="J33" s="2" t="s">
        <v>229</v>
      </c>
      <c r="K33" s="1" t="s">
        <v>548</v>
      </c>
    </row>
    <row r="34" spans="1:13" hidden="1" x14ac:dyDescent="0.4">
      <c r="A34" s="1" t="s">
        <v>159</v>
      </c>
      <c r="B34" s="1" t="s">
        <v>3</v>
      </c>
      <c r="C34" s="2" t="s">
        <v>461</v>
      </c>
      <c r="D34" s="1" t="s">
        <v>79</v>
      </c>
      <c r="E34" s="1" t="s">
        <v>554</v>
      </c>
      <c r="F34" s="1" t="s">
        <v>6</v>
      </c>
      <c r="G34" s="1" t="s">
        <v>6</v>
      </c>
      <c r="H34" s="1" t="s">
        <v>6</v>
      </c>
      <c r="I34" s="2" t="s">
        <v>252</v>
      </c>
      <c r="J34" s="2" t="s">
        <v>249</v>
      </c>
      <c r="K34" s="1" t="s">
        <v>550</v>
      </c>
    </row>
    <row r="35" spans="1:13" hidden="1" x14ac:dyDescent="0.4">
      <c r="A35" s="1" t="s">
        <v>160</v>
      </c>
      <c r="B35" s="1" t="s">
        <v>3</v>
      </c>
      <c r="C35" s="2" t="s">
        <v>114</v>
      </c>
      <c r="D35" s="1" t="s">
        <v>82</v>
      </c>
      <c r="E35" s="1" t="s">
        <v>554</v>
      </c>
      <c r="F35" s="1" t="s">
        <v>6</v>
      </c>
      <c r="G35" s="1" t="s">
        <v>6</v>
      </c>
      <c r="H35" s="1" t="s">
        <v>7</v>
      </c>
      <c r="I35" s="2" t="s">
        <v>232</v>
      </c>
      <c r="J35" s="2" t="s">
        <v>229</v>
      </c>
      <c r="K35" s="1" t="s">
        <v>550</v>
      </c>
      <c r="L35" s="1">
        <v>2</v>
      </c>
    </row>
    <row r="36" spans="1:13" hidden="1" x14ac:dyDescent="0.4">
      <c r="A36" s="1" t="s">
        <v>161</v>
      </c>
      <c r="B36" s="1" t="s">
        <v>3</v>
      </c>
      <c r="C36" s="2" t="s">
        <v>461</v>
      </c>
      <c r="D36" s="1" t="s">
        <v>89</v>
      </c>
      <c r="E36" s="1" t="s">
        <v>554</v>
      </c>
      <c r="F36" s="1" t="s">
        <v>6</v>
      </c>
      <c r="G36" s="1" t="s">
        <v>6</v>
      </c>
      <c r="H36" s="1" t="s">
        <v>7</v>
      </c>
      <c r="I36" s="2" t="s">
        <v>251</v>
      </c>
      <c r="J36" s="2" t="s">
        <v>249</v>
      </c>
      <c r="K36" s="1" t="s">
        <v>552</v>
      </c>
      <c r="L36" s="1">
        <v>2</v>
      </c>
    </row>
    <row r="37" spans="1:13" hidden="1" x14ac:dyDescent="0.4">
      <c r="A37" s="1" t="s">
        <v>162</v>
      </c>
      <c r="B37" s="1" t="s">
        <v>3</v>
      </c>
      <c r="C37" s="2" t="s">
        <v>114</v>
      </c>
      <c r="D37" s="1" t="s">
        <v>90</v>
      </c>
      <c r="E37" s="1" t="s">
        <v>554</v>
      </c>
      <c r="F37" s="1" t="s">
        <v>6</v>
      </c>
      <c r="G37" s="1" t="s">
        <v>6</v>
      </c>
      <c r="H37" s="1" t="s">
        <v>6</v>
      </c>
      <c r="I37" s="2" t="s">
        <v>230</v>
      </c>
      <c r="J37" s="2" t="s">
        <v>229</v>
      </c>
      <c r="K37" s="1" t="s">
        <v>548</v>
      </c>
    </row>
    <row r="38" spans="1:13" hidden="1" x14ac:dyDescent="0.4">
      <c r="A38" s="1" t="s">
        <v>163</v>
      </c>
      <c r="B38" s="1" t="s">
        <v>3</v>
      </c>
      <c r="C38" s="2" t="s">
        <v>461</v>
      </c>
      <c r="D38" s="1" t="s">
        <v>91</v>
      </c>
      <c r="E38" s="1" t="s">
        <v>554</v>
      </c>
      <c r="F38" s="1" t="s">
        <v>7</v>
      </c>
      <c r="G38" s="1" t="s">
        <v>6</v>
      </c>
      <c r="H38" s="1" t="s">
        <v>7</v>
      </c>
      <c r="I38" s="2" t="s">
        <v>475</v>
      </c>
      <c r="J38" s="2" t="s">
        <v>464</v>
      </c>
      <c r="K38" s="1" t="s">
        <v>554</v>
      </c>
    </row>
    <row r="39" spans="1:13" hidden="1" x14ac:dyDescent="0.4">
      <c r="A39" s="1" t="s">
        <v>164</v>
      </c>
      <c r="B39" s="1" t="s">
        <v>3</v>
      </c>
      <c r="C39" s="2" t="s">
        <v>114</v>
      </c>
      <c r="D39" s="1" t="s">
        <v>108</v>
      </c>
      <c r="E39" s="1" t="s">
        <v>554</v>
      </c>
      <c r="F39" s="1" t="s">
        <v>7</v>
      </c>
      <c r="G39" s="1" t="s">
        <v>6</v>
      </c>
      <c r="H39" s="1" t="s">
        <v>7</v>
      </c>
      <c r="I39" s="2" t="s">
        <v>230</v>
      </c>
      <c r="J39" s="2" t="s">
        <v>464</v>
      </c>
      <c r="K39" s="1" t="s">
        <v>554</v>
      </c>
    </row>
    <row r="40" spans="1:13" x14ac:dyDescent="0.4">
      <c r="A40" s="1" t="s">
        <v>165</v>
      </c>
      <c r="B40" s="1" t="s">
        <v>3</v>
      </c>
      <c r="C40" s="2" t="s">
        <v>114</v>
      </c>
      <c r="D40" s="1" t="s">
        <v>59</v>
      </c>
      <c r="E40" s="1" t="s">
        <v>554</v>
      </c>
      <c r="F40" s="1" t="s">
        <v>6</v>
      </c>
      <c r="G40" s="1" t="s">
        <v>6</v>
      </c>
      <c r="H40" s="1" t="s">
        <v>7</v>
      </c>
      <c r="I40" s="2" t="s">
        <v>254</v>
      </c>
      <c r="J40" s="2" t="s">
        <v>229</v>
      </c>
      <c r="K40" s="1" t="s">
        <v>548</v>
      </c>
    </row>
    <row r="41" spans="1:13" hidden="1" x14ac:dyDescent="0.4">
      <c r="A41" s="1" t="s">
        <v>166</v>
      </c>
      <c r="B41" s="2" t="s">
        <v>27</v>
      </c>
      <c r="C41" s="2" t="s">
        <v>114</v>
      </c>
      <c r="D41" s="1" t="s">
        <v>26</v>
      </c>
      <c r="E41" s="1" t="s">
        <v>554</v>
      </c>
      <c r="F41" s="1" t="s">
        <v>6</v>
      </c>
      <c r="G41" s="1" t="s">
        <v>6</v>
      </c>
      <c r="H41" s="1" t="s">
        <v>7</v>
      </c>
      <c r="I41" s="2" t="s">
        <v>232</v>
      </c>
      <c r="J41" s="2" t="s">
        <v>249</v>
      </c>
      <c r="K41" s="1" t="s">
        <v>550</v>
      </c>
      <c r="M41" s="2" t="s">
        <v>121</v>
      </c>
    </row>
    <row r="42" spans="1:13" hidden="1" x14ac:dyDescent="0.4">
      <c r="A42" s="1" t="s">
        <v>167</v>
      </c>
      <c r="B42" s="2" t="s">
        <v>27</v>
      </c>
      <c r="C42" s="1" t="s">
        <v>18</v>
      </c>
      <c r="D42" s="6" t="s">
        <v>125</v>
      </c>
      <c r="E42" s="1" t="s">
        <v>562</v>
      </c>
      <c r="F42" s="1" t="s">
        <v>7</v>
      </c>
      <c r="G42" s="1" t="s">
        <v>7</v>
      </c>
      <c r="H42" s="1" t="s">
        <v>7</v>
      </c>
      <c r="I42" s="2" t="s">
        <v>231</v>
      </c>
      <c r="J42" s="2" t="s">
        <v>250</v>
      </c>
      <c r="K42" s="1" t="s">
        <v>554</v>
      </c>
    </row>
    <row r="43" spans="1:13" x14ac:dyDescent="0.4">
      <c r="A43" s="9" t="s">
        <v>168</v>
      </c>
      <c r="B43" s="2" t="s">
        <v>27</v>
      </c>
      <c r="C43" s="2" t="s">
        <v>114</v>
      </c>
      <c r="D43" s="1" t="s">
        <v>69</v>
      </c>
      <c r="E43" s="1" t="s">
        <v>554</v>
      </c>
      <c r="F43" s="1" t="s">
        <v>6</v>
      </c>
      <c r="G43" s="1" t="s">
        <v>6</v>
      </c>
      <c r="H43" s="1" t="s">
        <v>7</v>
      </c>
      <c r="I43" s="2" t="s">
        <v>254</v>
      </c>
      <c r="J43" s="1" t="s">
        <v>540</v>
      </c>
      <c r="K43" s="1" t="s">
        <v>548</v>
      </c>
    </row>
    <row r="44" spans="1:13" hidden="1" x14ac:dyDescent="0.4">
      <c r="A44" s="1" t="s">
        <v>169</v>
      </c>
      <c r="B44" s="2" t="s">
        <v>27</v>
      </c>
      <c r="C44" s="2" t="s">
        <v>461</v>
      </c>
      <c r="D44" s="1" t="s">
        <v>72</v>
      </c>
      <c r="E44" s="1" t="s">
        <v>554</v>
      </c>
      <c r="F44" s="1" t="s">
        <v>6</v>
      </c>
      <c r="G44" s="1" t="s">
        <v>6</v>
      </c>
      <c r="H44" s="1" t="s">
        <v>7</v>
      </c>
      <c r="I44" s="2" t="s">
        <v>252</v>
      </c>
      <c r="J44" s="1" t="s">
        <v>463</v>
      </c>
      <c r="K44" s="1" t="s">
        <v>550</v>
      </c>
    </row>
    <row r="45" spans="1:13" hidden="1" x14ac:dyDescent="0.4">
      <c r="A45" s="1" t="s">
        <v>170</v>
      </c>
      <c r="B45" s="2" t="s">
        <v>27</v>
      </c>
      <c r="C45" s="2" t="s">
        <v>114</v>
      </c>
      <c r="D45" s="1" t="s">
        <v>80</v>
      </c>
      <c r="E45" s="1" t="s">
        <v>554</v>
      </c>
      <c r="F45" s="1" t="s">
        <v>6</v>
      </c>
      <c r="G45" s="1" t="s">
        <v>6</v>
      </c>
      <c r="H45" s="1" t="s">
        <v>7</v>
      </c>
      <c r="I45" s="2" t="s">
        <v>230</v>
      </c>
      <c r="J45" s="1" t="s">
        <v>540</v>
      </c>
      <c r="K45" s="1" t="s">
        <v>550</v>
      </c>
    </row>
    <row r="46" spans="1:13" hidden="1" x14ac:dyDescent="0.4">
      <c r="A46" s="1" t="s">
        <v>171</v>
      </c>
      <c r="B46" s="2" t="s">
        <v>27</v>
      </c>
      <c r="C46" s="2" t="s">
        <v>114</v>
      </c>
      <c r="D46" s="1" t="s">
        <v>86</v>
      </c>
      <c r="E46" s="1" t="s">
        <v>562</v>
      </c>
      <c r="F46" s="1" t="s">
        <v>6</v>
      </c>
      <c r="G46" s="1" t="s">
        <v>6</v>
      </c>
      <c r="H46" s="1" t="s">
        <v>7</v>
      </c>
      <c r="I46" s="2" t="s">
        <v>232</v>
      </c>
      <c r="J46" s="1" t="s">
        <v>463</v>
      </c>
      <c r="K46" s="1" t="s">
        <v>552</v>
      </c>
    </row>
    <row r="47" spans="1:13" hidden="1" x14ac:dyDescent="0.4">
      <c r="A47" s="1" t="s">
        <v>172</v>
      </c>
      <c r="B47" s="2" t="s">
        <v>27</v>
      </c>
      <c r="C47" s="2" t="s">
        <v>461</v>
      </c>
      <c r="D47" s="1" t="s">
        <v>87</v>
      </c>
      <c r="E47" s="1" t="s">
        <v>554</v>
      </c>
      <c r="F47" s="1" t="s">
        <v>6</v>
      </c>
      <c r="G47" s="1" t="s">
        <v>6</v>
      </c>
      <c r="H47" s="1" t="s">
        <v>7</v>
      </c>
      <c r="I47" s="2" t="s">
        <v>252</v>
      </c>
      <c r="J47" s="2" t="s">
        <v>229</v>
      </c>
      <c r="K47" s="1" t="s">
        <v>550</v>
      </c>
      <c r="M47" s="2" t="s">
        <v>121</v>
      </c>
    </row>
    <row r="48" spans="1:13" hidden="1" x14ac:dyDescent="0.4">
      <c r="A48" s="1" t="s">
        <v>173</v>
      </c>
      <c r="B48" s="2" t="s">
        <v>27</v>
      </c>
      <c r="C48" s="2" t="s">
        <v>462</v>
      </c>
      <c r="D48" s="1" t="s">
        <v>88</v>
      </c>
      <c r="E48" s="1" t="s">
        <v>554</v>
      </c>
      <c r="F48" s="1" t="s">
        <v>6</v>
      </c>
      <c r="G48" s="1" t="s">
        <v>6</v>
      </c>
      <c r="H48" s="1" t="s">
        <v>7</v>
      </c>
      <c r="I48" s="2" t="s">
        <v>251</v>
      </c>
      <c r="J48" s="1" t="s">
        <v>467</v>
      </c>
      <c r="K48" s="1" t="s">
        <v>550</v>
      </c>
    </row>
    <row r="49" spans="1:11" hidden="1" x14ac:dyDescent="0.4">
      <c r="A49" s="1" t="s">
        <v>174</v>
      </c>
      <c r="B49" s="2" t="s">
        <v>27</v>
      </c>
      <c r="C49" s="2" t="s">
        <v>461</v>
      </c>
      <c r="D49" s="1" t="s">
        <v>95</v>
      </c>
      <c r="E49" s="1" t="s">
        <v>554</v>
      </c>
      <c r="F49" s="1" t="s">
        <v>6</v>
      </c>
      <c r="G49" s="1" t="s">
        <v>6</v>
      </c>
      <c r="H49" s="1" t="s">
        <v>6</v>
      </c>
      <c r="I49" s="2" t="s">
        <v>252</v>
      </c>
      <c r="J49" s="1" t="s">
        <v>489</v>
      </c>
      <c r="K49" s="1" t="s">
        <v>552</v>
      </c>
    </row>
    <row r="50" spans="1:11" hidden="1" x14ac:dyDescent="0.4">
      <c r="A50" s="1" t="s">
        <v>175</v>
      </c>
      <c r="B50" s="2" t="s">
        <v>27</v>
      </c>
      <c r="C50" s="2" t="s">
        <v>461</v>
      </c>
      <c r="D50" s="1" t="s">
        <v>96</v>
      </c>
      <c r="E50" s="1" t="s">
        <v>554</v>
      </c>
      <c r="F50" s="1" t="s">
        <v>6</v>
      </c>
      <c r="G50" s="1" t="s">
        <v>6</v>
      </c>
      <c r="H50" s="1" t="s">
        <v>6</v>
      </c>
      <c r="I50" s="2" t="s">
        <v>252</v>
      </c>
      <c r="J50" s="1" t="s">
        <v>463</v>
      </c>
      <c r="K50" s="1" t="s">
        <v>552</v>
      </c>
    </row>
    <row r="51" spans="1:11" hidden="1" x14ac:dyDescent="0.4">
      <c r="A51" s="1" t="s">
        <v>176</v>
      </c>
      <c r="B51" s="2" t="s">
        <v>110</v>
      </c>
      <c r="C51" s="2" t="s">
        <v>114</v>
      </c>
      <c r="D51" s="1" t="s">
        <v>75</v>
      </c>
      <c r="E51" s="1" t="s">
        <v>554</v>
      </c>
      <c r="F51" s="1" t="s">
        <v>6</v>
      </c>
      <c r="G51" s="1" t="s">
        <v>6</v>
      </c>
      <c r="H51" s="1" t="s">
        <v>7</v>
      </c>
      <c r="I51" s="2" t="s">
        <v>233</v>
      </c>
      <c r="J51" s="1" t="s">
        <v>463</v>
      </c>
      <c r="K51" s="1" t="s">
        <v>548</v>
      </c>
    </row>
    <row r="52" spans="1:11" hidden="1" x14ac:dyDescent="0.4">
      <c r="A52" s="1" t="s">
        <v>177</v>
      </c>
      <c r="B52" s="2" t="s">
        <v>110</v>
      </c>
      <c r="C52" s="2" t="s">
        <v>461</v>
      </c>
      <c r="D52" s="6" t="s">
        <v>81</v>
      </c>
      <c r="E52" s="1" t="s">
        <v>554</v>
      </c>
      <c r="F52" s="1" t="s">
        <v>6</v>
      </c>
      <c r="G52" s="1" t="s">
        <v>6</v>
      </c>
      <c r="H52" s="1" t="s">
        <v>7</v>
      </c>
      <c r="I52" s="2" t="s">
        <v>252</v>
      </c>
      <c r="J52" s="1" t="s">
        <v>463</v>
      </c>
      <c r="K52" s="1" t="s">
        <v>548</v>
      </c>
    </row>
    <row r="53" spans="1:11" hidden="1" x14ac:dyDescent="0.4">
      <c r="A53" s="1" t="s">
        <v>178</v>
      </c>
      <c r="B53" s="2" t="s">
        <v>109</v>
      </c>
      <c r="C53" s="2" t="s">
        <v>114</v>
      </c>
      <c r="D53" s="1" t="s">
        <v>60</v>
      </c>
      <c r="E53" s="1" t="s">
        <v>554</v>
      </c>
      <c r="F53" s="1" t="s">
        <v>7</v>
      </c>
      <c r="G53" s="1" t="s">
        <v>6</v>
      </c>
      <c r="H53" s="1" t="s">
        <v>7</v>
      </c>
      <c r="I53" s="2" t="s">
        <v>233</v>
      </c>
      <c r="J53" s="1" t="s">
        <v>463</v>
      </c>
      <c r="K53" s="1" t="s">
        <v>550</v>
      </c>
    </row>
    <row r="54" spans="1:11" x14ac:dyDescent="0.4">
      <c r="A54" s="1" t="s">
        <v>179</v>
      </c>
      <c r="B54" s="2" t="s">
        <v>5</v>
      </c>
      <c r="C54" s="2" t="s">
        <v>462</v>
      </c>
      <c r="D54" s="1" t="s">
        <v>49</v>
      </c>
      <c r="E54" s="1" t="s">
        <v>554</v>
      </c>
      <c r="F54" s="1" t="s">
        <v>6</v>
      </c>
      <c r="G54" s="1" t="s">
        <v>6</v>
      </c>
      <c r="H54" s="1" t="s">
        <v>7</v>
      </c>
      <c r="I54" s="2" t="s">
        <v>252</v>
      </c>
      <c r="J54" s="1" t="s">
        <v>467</v>
      </c>
      <c r="K54" s="1" t="s">
        <v>550</v>
      </c>
    </row>
    <row r="55" spans="1:11" x14ac:dyDescent="0.4">
      <c r="A55" s="1" t="s">
        <v>180</v>
      </c>
      <c r="B55" s="2" t="s">
        <v>5</v>
      </c>
      <c r="C55" s="1" t="s">
        <v>18</v>
      </c>
      <c r="D55" s="1" t="s">
        <v>25</v>
      </c>
      <c r="E55" s="1" t="s">
        <v>554</v>
      </c>
      <c r="F55" s="1" t="s">
        <v>7</v>
      </c>
      <c r="G55" s="1" t="s">
        <v>7</v>
      </c>
      <c r="H55" s="1" t="s">
        <v>7</v>
      </c>
      <c r="I55" s="2" t="s">
        <v>253</v>
      </c>
      <c r="J55" s="1" t="s">
        <v>466</v>
      </c>
      <c r="K55" s="1" t="s">
        <v>554</v>
      </c>
    </row>
    <row r="56" spans="1:11" hidden="1" x14ac:dyDescent="0.4">
      <c r="A56" s="1" t="s">
        <v>181</v>
      </c>
      <c r="B56" s="1" t="s">
        <v>5</v>
      </c>
      <c r="C56" s="2" t="s">
        <v>114</v>
      </c>
      <c r="D56" s="1" t="s">
        <v>12</v>
      </c>
      <c r="E56" s="1" t="s">
        <v>554</v>
      </c>
      <c r="F56" s="1" t="s">
        <v>6</v>
      </c>
      <c r="G56" s="1" t="s">
        <v>6</v>
      </c>
      <c r="H56" s="1" t="s">
        <v>7</v>
      </c>
      <c r="I56" s="2" t="s">
        <v>233</v>
      </c>
      <c r="J56" s="1" t="s">
        <v>463</v>
      </c>
      <c r="K56" s="1" t="s">
        <v>550</v>
      </c>
    </row>
    <row r="57" spans="1:11" x14ac:dyDescent="0.4">
      <c r="A57" s="1" t="s">
        <v>182</v>
      </c>
      <c r="B57" s="2" t="s">
        <v>5</v>
      </c>
      <c r="C57" s="2" t="s">
        <v>462</v>
      </c>
      <c r="D57" s="1" t="s">
        <v>102</v>
      </c>
      <c r="E57" s="1" t="s">
        <v>562</v>
      </c>
      <c r="F57" s="1" t="s">
        <v>6</v>
      </c>
      <c r="G57" s="1" t="s">
        <v>7</v>
      </c>
      <c r="H57" s="1" t="s">
        <v>6</v>
      </c>
      <c r="I57" s="2" t="s">
        <v>252</v>
      </c>
      <c r="J57" s="1" t="s">
        <v>540</v>
      </c>
      <c r="K57" s="1" t="s">
        <v>550</v>
      </c>
    </row>
    <row r="58" spans="1:11" hidden="1" x14ac:dyDescent="0.4">
      <c r="A58" s="1" t="s">
        <v>183</v>
      </c>
      <c r="B58" s="2" t="s">
        <v>5</v>
      </c>
      <c r="C58" s="2" t="s">
        <v>114</v>
      </c>
      <c r="D58" s="1" t="s">
        <v>30</v>
      </c>
      <c r="E58" s="1" t="s">
        <v>554</v>
      </c>
      <c r="F58" s="1" t="s">
        <v>6</v>
      </c>
      <c r="G58" s="1" t="s">
        <v>6</v>
      </c>
      <c r="H58" s="1" t="s">
        <v>7</v>
      </c>
      <c r="I58" s="2" t="s">
        <v>230</v>
      </c>
      <c r="J58" s="1" t="s">
        <v>540</v>
      </c>
      <c r="K58" s="1" t="s">
        <v>548</v>
      </c>
    </row>
    <row r="59" spans="1:11" hidden="1" x14ac:dyDescent="0.4">
      <c r="A59" s="1" t="s">
        <v>184</v>
      </c>
      <c r="B59" s="2" t="s">
        <v>5</v>
      </c>
      <c r="C59" s="1" t="s">
        <v>18</v>
      </c>
      <c r="D59" s="1" t="s">
        <v>33</v>
      </c>
      <c r="E59" s="1" t="s">
        <v>562</v>
      </c>
      <c r="F59" s="1" t="s">
        <v>6</v>
      </c>
      <c r="G59" s="1" t="s">
        <v>7</v>
      </c>
      <c r="H59" s="1" t="s">
        <v>6</v>
      </c>
      <c r="I59" s="2" t="s">
        <v>253</v>
      </c>
      <c r="J59" s="1" t="s">
        <v>540</v>
      </c>
      <c r="K59" s="1" t="s">
        <v>550</v>
      </c>
    </row>
    <row r="60" spans="1:11" hidden="1" x14ac:dyDescent="0.4">
      <c r="A60" s="1" t="s">
        <v>185</v>
      </c>
      <c r="B60" s="2" t="s">
        <v>5</v>
      </c>
      <c r="C60" s="2" t="s">
        <v>114</v>
      </c>
      <c r="D60" s="1" t="s">
        <v>51</v>
      </c>
      <c r="E60" s="1" t="s">
        <v>554</v>
      </c>
      <c r="F60" s="1" t="s">
        <v>6</v>
      </c>
      <c r="G60" s="1" t="s">
        <v>6</v>
      </c>
      <c r="H60" s="1" t="s">
        <v>7</v>
      </c>
      <c r="I60" s="2" t="s">
        <v>232</v>
      </c>
      <c r="J60" s="1" t="s">
        <v>463</v>
      </c>
      <c r="K60" s="1" t="s">
        <v>550</v>
      </c>
    </row>
    <row r="61" spans="1:11" hidden="1" x14ac:dyDescent="0.4">
      <c r="A61" s="1" t="s">
        <v>186</v>
      </c>
      <c r="B61" s="2" t="s">
        <v>5</v>
      </c>
      <c r="C61" s="2" t="s">
        <v>114</v>
      </c>
      <c r="D61" s="1" t="s">
        <v>54</v>
      </c>
      <c r="E61" s="1" t="s">
        <v>554</v>
      </c>
      <c r="H61" s="1" t="s">
        <v>7</v>
      </c>
      <c r="I61" s="2" t="s">
        <v>230</v>
      </c>
      <c r="J61" s="1" t="s">
        <v>463</v>
      </c>
      <c r="K61" s="1" t="s">
        <v>548</v>
      </c>
    </row>
    <row r="62" spans="1:11" hidden="1" x14ac:dyDescent="0.4">
      <c r="A62" s="1" t="s">
        <v>187</v>
      </c>
      <c r="B62" s="2" t="s">
        <v>5</v>
      </c>
      <c r="C62" s="2" t="s">
        <v>461</v>
      </c>
      <c r="D62" s="1" t="s">
        <v>55</v>
      </c>
      <c r="E62" s="1" t="s">
        <v>554</v>
      </c>
      <c r="H62" s="1" t="s">
        <v>7</v>
      </c>
      <c r="I62" s="2" t="s">
        <v>252</v>
      </c>
      <c r="J62" s="2" t="s">
        <v>464</v>
      </c>
      <c r="K62" s="1" t="s">
        <v>548</v>
      </c>
    </row>
    <row r="63" spans="1:11" hidden="1" x14ac:dyDescent="0.4">
      <c r="A63" s="1" t="s">
        <v>188</v>
      </c>
      <c r="B63" s="2" t="s">
        <v>5</v>
      </c>
      <c r="C63" s="2" t="s">
        <v>114</v>
      </c>
      <c r="D63" s="1" t="s">
        <v>56</v>
      </c>
      <c r="E63" s="1" t="s">
        <v>554</v>
      </c>
      <c r="H63" s="1" t="s">
        <v>7</v>
      </c>
      <c r="I63" s="2" t="s">
        <v>234</v>
      </c>
      <c r="J63" s="1" t="s">
        <v>463</v>
      </c>
      <c r="K63" s="1" t="s">
        <v>550</v>
      </c>
    </row>
    <row r="64" spans="1:11" hidden="1" x14ac:dyDescent="0.4">
      <c r="A64" s="1" t="s">
        <v>189</v>
      </c>
      <c r="B64" s="2" t="s">
        <v>5</v>
      </c>
      <c r="C64" s="1" t="s">
        <v>18</v>
      </c>
      <c r="D64" s="1" t="s">
        <v>57</v>
      </c>
      <c r="E64" s="1" t="s">
        <v>554</v>
      </c>
      <c r="H64" s="1" t="s">
        <v>7</v>
      </c>
      <c r="I64" s="2" t="s">
        <v>231</v>
      </c>
      <c r="J64" s="1" t="s">
        <v>467</v>
      </c>
      <c r="K64" s="1" t="s">
        <v>550</v>
      </c>
    </row>
    <row r="65" spans="1:11" hidden="1" x14ac:dyDescent="0.4">
      <c r="A65" s="1" t="s">
        <v>190</v>
      </c>
      <c r="B65" s="2" t="s">
        <v>5</v>
      </c>
      <c r="C65" s="1" t="s">
        <v>18</v>
      </c>
      <c r="D65" s="1" t="s">
        <v>58</v>
      </c>
      <c r="E65" s="1" t="s">
        <v>554</v>
      </c>
      <c r="H65" s="1" t="s">
        <v>6</v>
      </c>
      <c r="I65" s="2" t="s">
        <v>253</v>
      </c>
      <c r="J65" s="1" t="s">
        <v>540</v>
      </c>
      <c r="K65" s="1" t="s">
        <v>550</v>
      </c>
    </row>
    <row r="66" spans="1:11" hidden="1" x14ac:dyDescent="0.4">
      <c r="A66" s="1" t="s">
        <v>191</v>
      </c>
      <c r="B66" s="2" t="s">
        <v>5</v>
      </c>
      <c r="C66" s="1" t="s">
        <v>18</v>
      </c>
      <c r="D66" s="1" t="s">
        <v>63</v>
      </c>
      <c r="E66" s="1" t="s">
        <v>554</v>
      </c>
      <c r="H66" s="1" t="s">
        <v>7</v>
      </c>
      <c r="I66" s="2" t="s">
        <v>252</v>
      </c>
      <c r="J66" s="1" t="s">
        <v>467</v>
      </c>
      <c r="K66" s="1" t="s">
        <v>548</v>
      </c>
    </row>
    <row r="67" spans="1:11" hidden="1" x14ac:dyDescent="0.4">
      <c r="A67" s="1" t="s">
        <v>192</v>
      </c>
      <c r="B67" s="2" t="s">
        <v>5</v>
      </c>
      <c r="C67" s="1" t="s">
        <v>17</v>
      </c>
      <c r="D67" s="5" t="s">
        <v>64</v>
      </c>
      <c r="E67" s="1" t="s">
        <v>562</v>
      </c>
      <c r="H67" s="1" t="s">
        <v>7</v>
      </c>
      <c r="I67" s="2" t="s">
        <v>252</v>
      </c>
      <c r="J67" s="1" t="s">
        <v>542</v>
      </c>
      <c r="K67" s="1" t="s">
        <v>550</v>
      </c>
    </row>
    <row r="68" spans="1:11" hidden="1" x14ac:dyDescent="0.4">
      <c r="A68" s="1" t="s">
        <v>193</v>
      </c>
      <c r="B68" s="2" t="s">
        <v>5</v>
      </c>
      <c r="C68" s="1" t="s">
        <v>18</v>
      </c>
      <c r="D68" s="1" t="s">
        <v>65</v>
      </c>
      <c r="E68" s="1" t="s">
        <v>562</v>
      </c>
      <c r="H68" s="1" t="s">
        <v>7</v>
      </c>
      <c r="I68" s="2" t="s">
        <v>252</v>
      </c>
      <c r="J68" s="1" t="s">
        <v>542</v>
      </c>
      <c r="K68" s="1" t="s">
        <v>548</v>
      </c>
    </row>
    <row r="69" spans="1:11" hidden="1" x14ac:dyDescent="0.4">
      <c r="A69" s="1" t="s">
        <v>194</v>
      </c>
      <c r="B69" s="2" t="s">
        <v>5</v>
      </c>
      <c r="C69" s="1" t="s">
        <v>18</v>
      </c>
      <c r="D69" s="1" t="s">
        <v>68</v>
      </c>
      <c r="E69" s="1" t="s">
        <v>565</v>
      </c>
      <c r="H69" s="1" t="s">
        <v>7</v>
      </c>
      <c r="I69" s="2" t="s">
        <v>253</v>
      </c>
      <c r="J69" s="1" t="s">
        <v>466</v>
      </c>
      <c r="K69" s="1" t="s">
        <v>552</v>
      </c>
    </row>
    <row r="70" spans="1:11" hidden="1" x14ac:dyDescent="0.4">
      <c r="A70" s="1" t="s">
        <v>195</v>
      </c>
      <c r="B70" s="2" t="s">
        <v>5</v>
      </c>
      <c r="C70" s="2" t="s">
        <v>114</v>
      </c>
      <c r="D70" s="1" t="s">
        <v>77</v>
      </c>
      <c r="E70" s="1" t="s">
        <v>554</v>
      </c>
      <c r="I70" s="2" t="s">
        <v>230</v>
      </c>
      <c r="J70" s="1" t="s">
        <v>540</v>
      </c>
      <c r="K70" s="1" t="s">
        <v>548</v>
      </c>
    </row>
    <row r="71" spans="1:11" hidden="1" x14ac:dyDescent="0.4">
      <c r="A71" s="1" t="s">
        <v>196</v>
      </c>
      <c r="B71" s="2" t="s">
        <v>5</v>
      </c>
      <c r="C71" s="1" t="s">
        <v>18</v>
      </c>
      <c r="D71" s="6" t="s">
        <v>78</v>
      </c>
      <c r="E71" s="1" t="s">
        <v>554</v>
      </c>
      <c r="I71" s="2" t="s">
        <v>252</v>
      </c>
      <c r="J71" s="1" t="s">
        <v>540</v>
      </c>
      <c r="K71" s="1" t="s">
        <v>550</v>
      </c>
    </row>
    <row r="72" spans="1:11" hidden="1" x14ac:dyDescent="0.4">
      <c r="A72" s="1" t="s">
        <v>197</v>
      </c>
      <c r="B72" s="2" t="s">
        <v>5</v>
      </c>
      <c r="C72" s="2" t="s">
        <v>461</v>
      </c>
      <c r="D72" s="1" t="s">
        <v>83</v>
      </c>
      <c r="E72" s="1" t="s">
        <v>562</v>
      </c>
      <c r="I72" s="2" t="s">
        <v>252</v>
      </c>
      <c r="J72" s="1" t="s">
        <v>489</v>
      </c>
      <c r="K72" s="1" t="s">
        <v>550</v>
      </c>
    </row>
    <row r="73" spans="1:11" hidden="1" x14ac:dyDescent="0.4">
      <c r="A73" s="1" t="s">
        <v>198</v>
      </c>
      <c r="B73" s="2" t="s">
        <v>5</v>
      </c>
      <c r="C73" s="1" t="s">
        <v>18</v>
      </c>
      <c r="D73" s="1" t="s">
        <v>84</v>
      </c>
      <c r="E73" s="1" t="s">
        <v>554</v>
      </c>
      <c r="I73" s="2" t="s">
        <v>231</v>
      </c>
      <c r="J73" s="1" t="s">
        <v>540</v>
      </c>
      <c r="K73" s="1" t="s">
        <v>550</v>
      </c>
    </row>
    <row r="74" spans="1:11" hidden="1" x14ac:dyDescent="0.4">
      <c r="A74" s="1" t="s">
        <v>199</v>
      </c>
      <c r="B74" s="2" t="s">
        <v>5</v>
      </c>
      <c r="C74" s="2" t="s">
        <v>461</v>
      </c>
      <c r="D74" s="1" t="s">
        <v>85</v>
      </c>
      <c r="E74" s="1" t="s">
        <v>554</v>
      </c>
      <c r="I74" s="2" t="s">
        <v>252</v>
      </c>
      <c r="J74" s="1" t="s">
        <v>542</v>
      </c>
      <c r="K74" s="1" t="s">
        <v>554</v>
      </c>
    </row>
    <row r="75" spans="1:11" hidden="1" x14ac:dyDescent="0.4">
      <c r="A75" s="1" t="s">
        <v>200</v>
      </c>
      <c r="B75" s="2" t="s">
        <v>5</v>
      </c>
      <c r="C75" s="1" t="s">
        <v>18</v>
      </c>
      <c r="D75" s="1" t="s">
        <v>94</v>
      </c>
      <c r="E75" s="1" t="s">
        <v>562</v>
      </c>
      <c r="I75" s="2" t="s">
        <v>231</v>
      </c>
      <c r="J75" s="1" t="s">
        <v>542</v>
      </c>
      <c r="K75" s="1" t="s">
        <v>550</v>
      </c>
    </row>
    <row r="76" spans="1:11" hidden="1" x14ac:dyDescent="0.4">
      <c r="A76" s="1" t="s">
        <v>201</v>
      </c>
      <c r="B76" s="2" t="s">
        <v>5</v>
      </c>
      <c r="C76" s="2" t="s">
        <v>461</v>
      </c>
      <c r="D76" s="1" t="s">
        <v>98</v>
      </c>
      <c r="E76" s="1" t="s">
        <v>554</v>
      </c>
      <c r="I76" s="2" t="s">
        <v>252</v>
      </c>
      <c r="J76" s="1" t="s">
        <v>467</v>
      </c>
      <c r="K76" s="1" t="s">
        <v>552</v>
      </c>
    </row>
    <row r="77" spans="1:11" hidden="1" x14ac:dyDescent="0.4">
      <c r="A77" s="1" t="s">
        <v>202</v>
      </c>
      <c r="B77" s="2" t="s">
        <v>5</v>
      </c>
      <c r="C77" s="1" t="s">
        <v>18</v>
      </c>
      <c r="D77" s="1" t="s">
        <v>99</v>
      </c>
      <c r="E77" s="1" t="s">
        <v>554</v>
      </c>
      <c r="I77" s="2" t="s">
        <v>253</v>
      </c>
      <c r="J77" s="1" t="s">
        <v>540</v>
      </c>
      <c r="K77" s="1" t="s">
        <v>550</v>
      </c>
    </row>
    <row r="78" spans="1:11" hidden="1" x14ac:dyDescent="0.4">
      <c r="A78" s="1" t="s">
        <v>203</v>
      </c>
      <c r="B78" s="2" t="s">
        <v>5</v>
      </c>
      <c r="C78" s="2" t="s">
        <v>462</v>
      </c>
      <c r="D78" s="1" t="s">
        <v>100</v>
      </c>
      <c r="E78" s="1" t="s">
        <v>554</v>
      </c>
      <c r="I78" s="2" t="s">
        <v>252</v>
      </c>
      <c r="J78" s="1" t="s">
        <v>467</v>
      </c>
      <c r="K78" s="1" t="s">
        <v>550</v>
      </c>
    </row>
    <row r="79" spans="1:11" hidden="1" x14ac:dyDescent="0.4">
      <c r="A79" s="1" t="s">
        <v>204</v>
      </c>
      <c r="B79" s="2" t="s">
        <v>5</v>
      </c>
      <c r="C79" s="2" t="s">
        <v>462</v>
      </c>
      <c r="D79" s="1" t="s">
        <v>101</v>
      </c>
      <c r="E79" s="1" t="s">
        <v>554</v>
      </c>
      <c r="I79" s="2" t="s">
        <v>252</v>
      </c>
      <c r="J79" s="1" t="s">
        <v>540</v>
      </c>
      <c r="K79" s="1" t="s">
        <v>550</v>
      </c>
    </row>
    <row r="80" spans="1:11" x14ac:dyDescent="0.4">
      <c r="A80" s="1" t="s">
        <v>205</v>
      </c>
      <c r="B80" s="1" t="s">
        <v>5</v>
      </c>
      <c r="C80" s="2" t="s">
        <v>114</v>
      </c>
      <c r="D80" s="1" t="s">
        <v>19</v>
      </c>
      <c r="E80" s="1" t="s">
        <v>554</v>
      </c>
      <c r="F80" s="1" t="s">
        <v>6</v>
      </c>
      <c r="G80" s="1" t="s">
        <v>6</v>
      </c>
      <c r="H80" s="1" t="s">
        <v>7</v>
      </c>
      <c r="I80" s="2" t="s">
        <v>254</v>
      </c>
      <c r="J80" s="1" t="s">
        <v>463</v>
      </c>
      <c r="K80" s="1" t="s">
        <v>550</v>
      </c>
    </row>
    <row r="81" spans="1:13" hidden="1" x14ac:dyDescent="0.4">
      <c r="A81" s="9" t="s">
        <v>206</v>
      </c>
      <c r="B81" s="2" t="s">
        <v>5</v>
      </c>
      <c r="C81" s="1" t="s">
        <v>18</v>
      </c>
      <c r="D81" s="6" t="s">
        <v>103</v>
      </c>
      <c r="E81" s="1" t="s">
        <v>562</v>
      </c>
      <c r="F81" s="1" t="s">
        <v>7</v>
      </c>
      <c r="G81" s="1" t="s">
        <v>7</v>
      </c>
      <c r="H81" s="1" t="s">
        <v>6</v>
      </c>
      <c r="I81" s="2" t="s">
        <v>231</v>
      </c>
      <c r="J81" s="2" t="s">
        <v>540</v>
      </c>
      <c r="K81" s="1" t="s">
        <v>550</v>
      </c>
      <c r="M81" s="2" t="s">
        <v>119</v>
      </c>
    </row>
    <row r="82" spans="1:13" hidden="1" x14ac:dyDescent="0.4">
      <c r="A82" s="9" t="s">
        <v>207</v>
      </c>
      <c r="B82" s="2" t="s">
        <v>5</v>
      </c>
      <c r="C82" s="1" t="s">
        <v>17</v>
      </c>
      <c r="D82" s="1" t="s">
        <v>104</v>
      </c>
      <c r="E82" s="1" t="s">
        <v>554</v>
      </c>
      <c r="F82" s="1" t="s">
        <v>6</v>
      </c>
      <c r="G82" s="1" t="s">
        <v>6</v>
      </c>
      <c r="H82" s="1" t="s">
        <v>7</v>
      </c>
      <c r="I82" s="2" t="s">
        <v>252</v>
      </c>
      <c r="J82" s="2" t="s">
        <v>464</v>
      </c>
      <c r="K82" s="1" t="s">
        <v>550</v>
      </c>
      <c r="M82" s="2" t="s">
        <v>119</v>
      </c>
    </row>
    <row r="83" spans="1:13" hidden="1" x14ac:dyDescent="0.4">
      <c r="A83" s="9" t="s">
        <v>208</v>
      </c>
      <c r="B83" s="2" t="s">
        <v>5</v>
      </c>
      <c r="C83" s="1" t="s">
        <v>18</v>
      </c>
      <c r="D83" s="1" t="s">
        <v>105</v>
      </c>
      <c r="E83" s="1" t="s">
        <v>554</v>
      </c>
      <c r="F83" s="1" t="s">
        <v>6</v>
      </c>
      <c r="G83" s="1" t="s">
        <v>6</v>
      </c>
      <c r="H83" s="1" t="s">
        <v>7</v>
      </c>
      <c r="I83" s="2" t="s">
        <v>251</v>
      </c>
      <c r="J83" s="2" t="s">
        <v>540</v>
      </c>
      <c r="K83" s="1" t="s">
        <v>550</v>
      </c>
      <c r="L83" s="1">
        <v>2</v>
      </c>
      <c r="M83" s="2" t="s">
        <v>120</v>
      </c>
    </row>
    <row r="84" spans="1:13" hidden="1" x14ac:dyDescent="0.4">
      <c r="A84" s="9" t="s">
        <v>209</v>
      </c>
      <c r="B84" s="2" t="s">
        <v>5</v>
      </c>
      <c r="C84" s="1" t="s">
        <v>18</v>
      </c>
      <c r="D84" s="1" t="s">
        <v>106</v>
      </c>
      <c r="E84" s="1" t="s">
        <v>554</v>
      </c>
      <c r="F84" s="1" t="s">
        <v>7</v>
      </c>
      <c r="G84" s="1" t="s">
        <v>7</v>
      </c>
      <c r="H84" s="1" t="s">
        <v>6</v>
      </c>
      <c r="I84" s="2" t="s">
        <v>253</v>
      </c>
      <c r="J84" s="2" t="s">
        <v>250</v>
      </c>
      <c r="K84" s="1" t="s">
        <v>554</v>
      </c>
      <c r="M84" s="2" t="s">
        <v>121</v>
      </c>
    </row>
    <row r="85" spans="1:13" hidden="1" x14ac:dyDescent="0.4">
      <c r="A85" s="1" t="s">
        <v>210</v>
      </c>
      <c r="B85" t="s">
        <v>29</v>
      </c>
      <c r="C85" s="1" t="s">
        <v>17</v>
      </c>
      <c r="D85" s="1" t="s">
        <v>28</v>
      </c>
      <c r="E85" s="1" t="s">
        <v>554</v>
      </c>
      <c r="H85" s="1" t="s">
        <v>7</v>
      </c>
      <c r="I85" s="2" t="s">
        <v>252</v>
      </c>
      <c r="J85" s="1" t="s">
        <v>463</v>
      </c>
      <c r="K85" s="1" t="s">
        <v>550</v>
      </c>
    </row>
    <row r="86" spans="1:13" hidden="1" x14ac:dyDescent="0.4">
      <c r="A86" s="1" t="s">
        <v>211</v>
      </c>
      <c r="B86" t="s">
        <v>29</v>
      </c>
      <c r="C86" s="1" t="s">
        <v>17</v>
      </c>
      <c r="D86" s="1" t="s">
        <v>34</v>
      </c>
      <c r="E86" s="1" t="s">
        <v>554</v>
      </c>
      <c r="H86" s="1" t="s">
        <v>7</v>
      </c>
      <c r="I86" s="2" t="s">
        <v>252</v>
      </c>
      <c r="J86" s="1" t="s">
        <v>463</v>
      </c>
      <c r="K86" s="1" t="s">
        <v>550</v>
      </c>
    </row>
    <row r="87" spans="1:13" hidden="1" x14ac:dyDescent="0.4">
      <c r="A87" s="1" t="s">
        <v>212</v>
      </c>
      <c r="B87" t="s">
        <v>29</v>
      </c>
      <c r="C87" s="1" t="s">
        <v>17</v>
      </c>
      <c r="D87" s="1" t="s">
        <v>36</v>
      </c>
      <c r="E87" s="1" t="s">
        <v>554</v>
      </c>
      <c r="H87" s="1" t="s">
        <v>7</v>
      </c>
      <c r="I87" s="2" t="s">
        <v>251</v>
      </c>
      <c r="J87" s="1" t="s">
        <v>463</v>
      </c>
      <c r="K87" s="1" t="s">
        <v>550</v>
      </c>
    </row>
    <row r="88" spans="1:13" hidden="1" x14ac:dyDescent="0.4">
      <c r="A88" s="1" t="s">
        <v>213</v>
      </c>
      <c r="B88" s="1" t="s">
        <v>13</v>
      </c>
      <c r="C88" s="2" t="s">
        <v>114</v>
      </c>
      <c r="D88" s="1" t="s">
        <v>20</v>
      </c>
      <c r="E88" s="1" t="s">
        <v>554</v>
      </c>
      <c r="F88" s="1" t="s">
        <v>6</v>
      </c>
      <c r="G88" s="1" t="s">
        <v>6</v>
      </c>
      <c r="H88" s="1" t="s">
        <v>7</v>
      </c>
      <c r="I88" s="2" t="s">
        <v>230</v>
      </c>
      <c r="J88" s="1" t="s">
        <v>463</v>
      </c>
      <c r="K88" s="1" t="s">
        <v>548</v>
      </c>
    </row>
    <row r="89" spans="1:13" hidden="1" x14ac:dyDescent="0.4">
      <c r="A89" s="1" t="s">
        <v>214</v>
      </c>
      <c r="B89" s="2" t="s">
        <v>13</v>
      </c>
      <c r="C89" s="2" t="s">
        <v>114</v>
      </c>
      <c r="D89" s="1" t="s">
        <v>50</v>
      </c>
      <c r="E89" s="1" t="s">
        <v>554</v>
      </c>
      <c r="F89" s="1" t="s">
        <v>6</v>
      </c>
      <c r="G89" s="1" t="s">
        <v>6</v>
      </c>
      <c r="H89" s="1" t="s">
        <v>7</v>
      </c>
      <c r="I89" s="2" t="s">
        <v>232</v>
      </c>
      <c r="J89" s="1" t="s">
        <v>467</v>
      </c>
      <c r="K89" s="1" t="s">
        <v>548</v>
      </c>
      <c r="L89" s="1">
        <v>2</v>
      </c>
    </row>
    <row r="90" spans="1:13" hidden="1" x14ac:dyDescent="0.4">
      <c r="A90" s="1" t="s">
        <v>215</v>
      </c>
      <c r="B90" s="2" t="s">
        <v>13</v>
      </c>
      <c r="C90" s="2" t="s">
        <v>114</v>
      </c>
      <c r="D90" s="1" t="s">
        <v>62</v>
      </c>
      <c r="E90" s="1" t="s">
        <v>554</v>
      </c>
      <c r="H90" s="1" t="s">
        <v>7</v>
      </c>
      <c r="I90" s="2" t="s">
        <v>230</v>
      </c>
      <c r="J90" s="1" t="s">
        <v>463</v>
      </c>
      <c r="K90" s="1" t="s">
        <v>548</v>
      </c>
    </row>
    <row r="91" spans="1:13" hidden="1" x14ac:dyDescent="0.4">
      <c r="A91" s="1" t="s">
        <v>216</v>
      </c>
      <c r="B91" s="2" t="s">
        <v>13</v>
      </c>
      <c r="C91" s="2" t="s">
        <v>114</v>
      </c>
      <c r="D91" s="1" t="s">
        <v>66</v>
      </c>
      <c r="E91" s="1" t="s">
        <v>554</v>
      </c>
      <c r="H91" s="1" t="s">
        <v>7</v>
      </c>
      <c r="I91" s="2" t="s">
        <v>232</v>
      </c>
      <c r="J91" s="2" t="s">
        <v>464</v>
      </c>
      <c r="K91" s="1" t="s">
        <v>548</v>
      </c>
    </row>
    <row r="92" spans="1:13" hidden="1" x14ac:dyDescent="0.4">
      <c r="A92" s="9" t="s">
        <v>217</v>
      </c>
      <c r="B92" s="2" t="s">
        <v>13</v>
      </c>
      <c r="C92" s="1" t="s">
        <v>18</v>
      </c>
      <c r="D92" s="1" t="s">
        <v>107</v>
      </c>
      <c r="E92" s="1" t="s">
        <v>554</v>
      </c>
      <c r="F92" s="1" t="s">
        <v>7</v>
      </c>
      <c r="G92" s="1" t="s">
        <v>7</v>
      </c>
      <c r="H92" s="1" t="s">
        <v>6</v>
      </c>
      <c r="I92" s="2" t="s">
        <v>252</v>
      </c>
      <c r="J92" s="2" t="s">
        <v>250</v>
      </c>
      <c r="K92" s="1" t="s">
        <v>554</v>
      </c>
      <c r="M92" s="2" t="s">
        <v>121</v>
      </c>
    </row>
    <row r="93" spans="1:13" hidden="1" x14ac:dyDescent="0.4">
      <c r="A93" s="1" t="s">
        <v>218</v>
      </c>
      <c r="B93" s="2" t="s">
        <v>111</v>
      </c>
      <c r="C93" s="1" t="s">
        <v>18</v>
      </c>
      <c r="D93" s="1" t="s">
        <v>67</v>
      </c>
      <c r="E93" s="1" t="s">
        <v>565</v>
      </c>
      <c r="H93" s="1" t="s">
        <v>6</v>
      </c>
      <c r="I93" s="2" t="s">
        <v>231</v>
      </c>
      <c r="J93" s="1" t="s">
        <v>540</v>
      </c>
      <c r="K93" s="1" t="s">
        <v>552</v>
      </c>
    </row>
    <row r="94" spans="1:13" hidden="1" x14ac:dyDescent="0.4">
      <c r="A94" s="1" t="s">
        <v>219</v>
      </c>
      <c r="B94" s="2" t="s">
        <v>111</v>
      </c>
      <c r="C94" s="2" t="s">
        <v>461</v>
      </c>
      <c r="D94" s="1" t="s">
        <v>97</v>
      </c>
      <c r="E94" s="1" t="s">
        <v>554</v>
      </c>
      <c r="I94" s="2" t="s">
        <v>252</v>
      </c>
      <c r="J94" s="1" t="s">
        <v>540</v>
      </c>
      <c r="K94" s="1" t="s">
        <v>552</v>
      </c>
    </row>
    <row r="95" spans="1:13" hidden="1" x14ac:dyDescent="0.4">
      <c r="A95" s="1" t="s">
        <v>220</v>
      </c>
      <c r="B95" s="2" t="s">
        <v>35</v>
      </c>
      <c r="C95" s="2" t="s">
        <v>114</v>
      </c>
      <c r="D95" s="1" t="s">
        <v>32</v>
      </c>
      <c r="E95" s="1" t="s">
        <v>554</v>
      </c>
      <c r="F95" s="1" t="s">
        <v>6</v>
      </c>
      <c r="G95" s="1" t="s">
        <v>6</v>
      </c>
      <c r="H95" s="1" t="s">
        <v>6</v>
      </c>
      <c r="I95" s="2" t="s">
        <v>233</v>
      </c>
      <c r="J95" s="1" t="s">
        <v>540</v>
      </c>
      <c r="K95" s="1" t="s">
        <v>550</v>
      </c>
    </row>
    <row r="96" spans="1:13" hidden="1" x14ac:dyDescent="0.4">
      <c r="A96" s="1" t="s">
        <v>221</v>
      </c>
      <c r="B96" s="2" t="s">
        <v>35</v>
      </c>
      <c r="C96" s="2" t="s">
        <v>461</v>
      </c>
      <c r="D96" s="1" t="s">
        <v>92</v>
      </c>
      <c r="E96" s="1" t="s">
        <v>554</v>
      </c>
      <c r="I96" s="2" t="s">
        <v>252</v>
      </c>
      <c r="J96" s="1" t="s">
        <v>540</v>
      </c>
      <c r="K96" s="1" t="s">
        <v>550</v>
      </c>
    </row>
    <row r="97" spans="1:11" hidden="1" x14ac:dyDescent="0.4">
      <c r="A97" s="1" t="s">
        <v>222</v>
      </c>
      <c r="B97" s="2" t="s">
        <v>35</v>
      </c>
      <c r="C97" s="2" t="s">
        <v>461</v>
      </c>
      <c r="D97" s="1" t="s">
        <v>93</v>
      </c>
      <c r="E97" s="1" t="s">
        <v>554</v>
      </c>
      <c r="I97" s="2" t="s">
        <v>252</v>
      </c>
      <c r="J97" s="1" t="s">
        <v>540</v>
      </c>
      <c r="K97" s="1" t="s">
        <v>550</v>
      </c>
    </row>
    <row r="98" spans="1:11" hidden="1" x14ac:dyDescent="0.4">
      <c r="A98" s="1" t="s">
        <v>521</v>
      </c>
      <c r="B98" s="2" t="s">
        <v>27</v>
      </c>
      <c r="C98" s="2" t="s">
        <v>114</v>
      </c>
      <c r="D98" s="2" t="s">
        <v>472</v>
      </c>
      <c r="E98" s="1" t="s">
        <v>565</v>
      </c>
      <c r="F98" s="1" t="s">
        <v>6</v>
      </c>
      <c r="G98" s="1" t="s">
        <v>6</v>
      </c>
      <c r="I98" s="2" t="s">
        <v>232</v>
      </c>
      <c r="J98" s="1" t="s">
        <v>463</v>
      </c>
      <c r="K98" s="1" t="s">
        <v>552</v>
      </c>
    </row>
    <row r="99" spans="1:11" hidden="1" x14ac:dyDescent="0.4">
      <c r="A99" s="1" t="s">
        <v>469</v>
      </c>
      <c r="B99" s="2" t="s">
        <v>5</v>
      </c>
      <c r="C99" s="2" t="s">
        <v>461</v>
      </c>
      <c r="D99" s="2" t="s">
        <v>474</v>
      </c>
      <c r="E99" s="1" t="s">
        <v>562</v>
      </c>
      <c r="F99" s="1" t="s">
        <v>7</v>
      </c>
      <c r="G99" s="1" t="s">
        <v>7</v>
      </c>
      <c r="H99" s="1" t="s">
        <v>7</v>
      </c>
      <c r="I99" s="1" t="s">
        <v>475</v>
      </c>
      <c r="J99" s="1" t="s">
        <v>467</v>
      </c>
      <c r="K99" s="1" t="s">
        <v>552</v>
      </c>
    </row>
    <row r="100" spans="1:11" hidden="1" x14ac:dyDescent="0.4">
      <c r="A100" s="1" t="s">
        <v>470</v>
      </c>
      <c r="B100" s="2" t="s">
        <v>5</v>
      </c>
      <c r="C100" s="1" t="s">
        <v>18</v>
      </c>
      <c r="D100" s="2" t="s">
        <v>476</v>
      </c>
      <c r="E100" s="1" t="s">
        <v>565</v>
      </c>
      <c r="F100" s="1" t="s">
        <v>7</v>
      </c>
      <c r="G100" s="1" t="s">
        <v>7</v>
      </c>
      <c r="H100" s="1" t="s">
        <v>6</v>
      </c>
      <c r="I100" s="1" t="s">
        <v>477</v>
      </c>
      <c r="J100" s="1" t="s">
        <v>463</v>
      </c>
      <c r="K100" s="1" t="s">
        <v>552</v>
      </c>
    </row>
    <row r="101" spans="1:11" hidden="1" x14ac:dyDescent="0.4">
      <c r="A101" s="1" t="s">
        <v>471</v>
      </c>
      <c r="B101" s="2" t="s">
        <v>479</v>
      </c>
      <c r="C101" s="2" t="s">
        <v>114</v>
      </c>
      <c r="D101" s="2" t="s">
        <v>478</v>
      </c>
      <c r="E101" s="1" t="s">
        <v>563</v>
      </c>
      <c r="F101" s="1" t="s">
        <v>6</v>
      </c>
      <c r="G101" s="1" t="s">
        <v>7</v>
      </c>
      <c r="H101" s="1" t="s">
        <v>6</v>
      </c>
      <c r="I101" s="1" t="s">
        <v>465</v>
      </c>
      <c r="J101" s="1" t="s">
        <v>489</v>
      </c>
      <c r="K101" s="1" t="s">
        <v>550</v>
      </c>
    </row>
    <row r="102" spans="1:11" hidden="1" x14ac:dyDescent="0.4">
      <c r="A102" s="1" t="s">
        <v>468</v>
      </c>
      <c r="B102" s="2" t="s">
        <v>27</v>
      </c>
      <c r="C102" s="2" t="s">
        <v>114</v>
      </c>
      <c r="D102" s="1" t="s">
        <v>480</v>
      </c>
      <c r="E102" s="1" t="s">
        <v>562</v>
      </c>
      <c r="F102" s="1" t="s">
        <v>6</v>
      </c>
      <c r="G102" s="1" t="s">
        <v>7</v>
      </c>
      <c r="H102" s="1" t="s">
        <v>6</v>
      </c>
      <c r="I102" s="1" t="s">
        <v>473</v>
      </c>
      <c r="J102" s="1" t="s">
        <v>489</v>
      </c>
      <c r="K102" s="1" t="s">
        <v>550</v>
      </c>
    </row>
    <row r="103" spans="1:11" hidden="1" x14ac:dyDescent="0.4">
      <c r="A103" s="1" t="s">
        <v>482</v>
      </c>
      <c r="B103" s="2" t="s">
        <v>5</v>
      </c>
      <c r="C103" s="2" t="s">
        <v>461</v>
      </c>
      <c r="D103" s="1" t="s">
        <v>481</v>
      </c>
      <c r="E103" s="1" t="s">
        <v>563</v>
      </c>
      <c r="F103" s="1" t="s">
        <v>7</v>
      </c>
      <c r="G103" s="1" t="s">
        <v>7</v>
      </c>
      <c r="H103" s="1" t="s">
        <v>7</v>
      </c>
      <c r="I103" s="1" t="s">
        <v>475</v>
      </c>
      <c r="J103" s="1" t="s">
        <v>467</v>
      </c>
      <c r="K103" s="1" t="s">
        <v>552</v>
      </c>
    </row>
    <row r="104" spans="1:11" hidden="1" x14ac:dyDescent="0.4">
      <c r="A104" s="1" t="s">
        <v>484</v>
      </c>
      <c r="B104" s="2" t="s">
        <v>479</v>
      </c>
      <c r="C104" s="2" t="s">
        <v>461</v>
      </c>
      <c r="D104" s="1" t="s">
        <v>483</v>
      </c>
      <c r="E104" s="1" t="s">
        <v>562</v>
      </c>
      <c r="F104" s="1" t="s">
        <v>7</v>
      </c>
      <c r="G104" s="1" t="s">
        <v>7</v>
      </c>
      <c r="H104" s="1" t="s">
        <v>6</v>
      </c>
      <c r="I104" s="1" t="s">
        <v>475</v>
      </c>
      <c r="J104" s="1" t="s">
        <v>467</v>
      </c>
      <c r="K104" s="1" t="s">
        <v>552</v>
      </c>
    </row>
    <row r="105" spans="1:11" hidden="1" x14ac:dyDescent="0.4">
      <c r="A105" s="1" t="s">
        <v>491</v>
      </c>
      <c r="B105" s="2" t="s">
        <v>5</v>
      </c>
      <c r="C105" s="1" t="s">
        <v>18</v>
      </c>
      <c r="D105" s="1" t="s">
        <v>485</v>
      </c>
      <c r="E105" s="1" t="s">
        <v>565</v>
      </c>
      <c r="I105" s="1" t="s">
        <v>477</v>
      </c>
      <c r="J105" s="1" t="s">
        <v>463</v>
      </c>
      <c r="K105" s="1" t="s">
        <v>550</v>
      </c>
    </row>
    <row r="106" spans="1:11" hidden="1" x14ac:dyDescent="0.4">
      <c r="A106" s="1" t="s">
        <v>492</v>
      </c>
      <c r="B106" s="2" t="s">
        <v>5</v>
      </c>
      <c r="C106" s="2" t="s">
        <v>461</v>
      </c>
      <c r="D106" s="6" t="s">
        <v>574</v>
      </c>
      <c r="E106" s="1" t="s">
        <v>798</v>
      </c>
      <c r="I106" s="1" t="s">
        <v>475</v>
      </c>
      <c r="J106" s="1" t="s">
        <v>467</v>
      </c>
      <c r="K106" s="1" t="s">
        <v>550</v>
      </c>
    </row>
    <row r="107" spans="1:11" hidden="1" x14ac:dyDescent="0.4">
      <c r="A107" s="1" t="s">
        <v>493</v>
      </c>
      <c r="B107" s="2" t="s">
        <v>479</v>
      </c>
      <c r="C107" s="2" t="s">
        <v>461</v>
      </c>
      <c r="D107" s="1" t="s">
        <v>486</v>
      </c>
      <c r="E107" s="1" t="s">
        <v>501</v>
      </c>
      <c r="I107" s="1" t="s">
        <v>488</v>
      </c>
      <c r="J107" s="1" t="s">
        <v>501</v>
      </c>
      <c r="K107" s="1" t="s">
        <v>552</v>
      </c>
    </row>
    <row r="108" spans="1:11" hidden="1" x14ac:dyDescent="0.4">
      <c r="A108" s="1" t="s">
        <v>494</v>
      </c>
      <c r="B108" s="2" t="s">
        <v>479</v>
      </c>
      <c r="C108" s="2" t="s">
        <v>461</v>
      </c>
      <c r="D108" s="1" t="s">
        <v>487</v>
      </c>
      <c r="E108" s="1" t="s">
        <v>562</v>
      </c>
      <c r="I108" s="1" t="s">
        <v>475</v>
      </c>
      <c r="J108" s="1" t="s">
        <v>489</v>
      </c>
      <c r="K108" s="1" t="s">
        <v>552</v>
      </c>
    </row>
    <row r="109" spans="1:11" hidden="1" x14ac:dyDescent="0.4">
      <c r="A109" s="1" t="s">
        <v>495</v>
      </c>
      <c r="B109" s="1" t="s">
        <v>479</v>
      </c>
      <c r="C109" s="2" t="s">
        <v>461</v>
      </c>
      <c r="D109" s="2" t="s">
        <v>497</v>
      </c>
      <c r="E109" s="1" t="s">
        <v>554</v>
      </c>
      <c r="I109" s="1" t="s">
        <v>475</v>
      </c>
      <c r="J109" s="1" t="s">
        <v>467</v>
      </c>
      <c r="K109" s="1" t="s">
        <v>552</v>
      </c>
    </row>
    <row r="110" spans="1:11" hidden="1" x14ac:dyDescent="0.4">
      <c r="A110" s="1" t="s">
        <v>496</v>
      </c>
      <c r="B110" s="1" t="s">
        <v>479</v>
      </c>
      <c r="C110" s="2" t="s">
        <v>461</v>
      </c>
      <c r="D110" s="2" t="s">
        <v>498</v>
      </c>
      <c r="E110" s="1" t="s">
        <v>554</v>
      </c>
      <c r="I110" s="1" t="s">
        <v>475</v>
      </c>
      <c r="J110" s="1" t="s">
        <v>467</v>
      </c>
      <c r="K110" s="1" t="s">
        <v>552</v>
      </c>
    </row>
    <row r="111" spans="1:11" hidden="1" x14ac:dyDescent="0.4">
      <c r="A111" s="1" t="s">
        <v>500</v>
      </c>
      <c r="B111" s="1" t="s">
        <v>479</v>
      </c>
      <c r="C111" s="2" t="s">
        <v>114</v>
      </c>
      <c r="D111" s="5" t="s">
        <v>499</v>
      </c>
      <c r="E111" s="1" t="s">
        <v>562</v>
      </c>
      <c r="I111" s="1" t="s">
        <v>465</v>
      </c>
      <c r="J111" s="1" t="s">
        <v>489</v>
      </c>
      <c r="K111" s="1" t="s">
        <v>550</v>
      </c>
    </row>
    <row r="112" spans="1:11" hidden="1" x14ac:dyDescent="0.4">
      <c r="A112" s="1" t="s">
        <v>504</v>
      </c>
      <c r="B112" s="1" t="s">
        <v>479</v>
      </c>
      <c r="C112" s="2" t="s">
        <v>114</v>
      </c>
      <c r="D112" s="1" t="s">
        <v>503</v>
      </c>
      <c r="E112" s="1" t="s">
        <v>562</v>
      </c>
      <c r="F112" s="1" t="s">
        <v>6</v>
      </c>
      <c r="I112" s="1" t="s">
        <v>505</v>
      </c>
      <c r="J112" s="1" t="s">
        <v>489</v>
      </c>
      <c r="K112" s="1" t="s">
        <v>550</v>
      </c>
    </row>
    <row r="113" spans="1:12" hidden="1" x14ac:dyDescent="0.4">
      <c r="A113" s="1" t="s">
        <v>507</v>
      </c>
      <c r="B113" s="2" t="s">
        <v>5</v>
      </c>
      <c r="C113" s="2" t="s">
        <v>461</v>
      </c>
      <c r="D113" s="1" t="s">
        <v>506</v>
      </c>
      <c r="E113" s="1" t="s">
        <v>798</v>
      </c>
      <c r="F113" s="1" t="s">
        <v>7</v>
      </c>
      <c r="G113" s="1" t="s">
        <v>7</v>
      </c>
      <c r="H113" s="1" t="s">
        <v>6</v>
      </c>
      <c r="I113" s="1" t="s">
        <v>488</v>
      </c>
      <c r="J113" s="1" t="s">
        <v>542</v>
      </c>
      <c r="K113" s="1" t="s">
        <v>550</v>
      </c>
    </row>
    <row r="114" spans="1:12" hidden="1" x14ac:dyDescent="0.4">
      <c r="A114" s="1" t="s">
        <v>509</v>
      </c>
      <c r="B114" s="2" t="s">
        <v>5</v>
      </c>
      <c r="C114" s="2" t="s">
        <v>114</v>
      </c>
      <c r="D114" s="1" t="s">
        <v>508</v>
      </c>
      <c r="E114" s="1" t="s">
        <v>562</v>
      </c>
      <c r="F114" s="1" t="s">
        <v>6</v>
      </c>
      <c r="I114" s="1" t="s">
        <v>465</v>
      </c>
      <c r="J114" s="1" t="s">
        <v>540</v>
      </c>
      <c r="K114" s="1" t="s">
        <v>550</v>
      </c>
    </row>
    <row r="115" spans="1:12" hidden="1" x14ac:dyDescent="0.4">
      <c r="A115" s="1" t="s">
        <v>511</v>
      </c>
      <c r="B115" s="2" t="s">
        <v>5</v>
      </c>
      <c r="C115" s="2" t="s">
        <v>461</v>
      </c>
      <c r="D115" s="1" t="s">
        <v>510</v>
      </c>
      <c r="E115" s="1" t="s">
        <v>554</v>
      </c>
      <c r="F115" s="1" t="s">
        <v>6</v>
      </c>
      <c r="G115" s="1" t="s">
        <v>6</v>
      </c>
      <c r="H115" s="1" t="s">
        <v>6</v>
      </c>
      <c r="I115" s="1" t="s">
        <v>475</v>
      </c>
      <c r="J115" s="1" t="s">
        <v>489</v>
      </c>
      <c r="K115" s="1" t="s">
        <v>552</v>
      </c>
    </row>
    <row r="116" spans="1:12" hidden="1" x14ac:dyDescent="0.4">
      <c r="A116" s="1" t="s">
        <v>513</v>
      </c>
      <c r="B116" s="2" t="s">
        <v>5</v>
      </c>
      <c r="C116" s="2" t="s">
        <v>114</v>
      </c>
      <c r="D116" s="1" t="s">
        <v>512</v>
      </c>
      <c r="E116" s="1" t="s">
        <v>554</v>
      </c>
      <c r="G116" s="1" t="s">
        <v>6</v>
      </c>
      <c r="H116" s="1" t="s">
        <v>7</v>
      </c>
      <c r="I116" s="1" t="s">
        <v>475</v>
      </c>
      <c r="J116" s="1" t="s">
        <v>514</v>
      </c>
      <c r="K116" s="1" t="s">
        <v>550</v>
      </c>
    </row>
    <row r="117" spans="1:12" hidden="1" x14ac:dyDescent="0.4">
      <c r="A117" s="1" t="s">
        <v>522</v>
      </c>
      <c r="B117" s="1" t="s">
        <v>3</v>
      </c>
      <c r="C117" s="2" t="s">
        <v>114</v>
      </c>
      <c r="D117" s="1" t="s">
        <v>515</v>
      </c>
      <c r="E117" s="1" t="s">
        <v>554</v>
      </c>
      <c r="F117" s="1" t="s">
        <v>6</v>
      </c>
      <c r="G117" s="1" t="s">
        <v>6</v>
      </c>
      <c r="H117" s="1" t="s">
        <v>7</v>
      </c>
      <c r="I117" s="2" t="s">
        <v>232</v>
      </c>
      <c r="J117" s="1" t="s">
        <v>463</v>
      </c>
      <c r="K117" s="1" t="s">
        <v>552</v>
      </c>
      <c r="L117" s="1">
        <v>1</v>
      </c>
    </row>
    <row r="118" spans="1:12" hidden="1" x14ac:dyDescent="0.4">
      <c r="A118" s="1" t="s">
        <v>523</v>
      </c>
      <c r="B118" s="1" t="s">
        <v>3</v>
      </c>
      <c r="C118" s="2" t="s">
        <v>114</v>
      </c>
      <c r="D118" s="2" t="s">
        <v>516</v>
      </c>
      <c r="E118" s="1" t="s">
        <v>554</v>
      </c>
      <c r="F118" s="1" t="s">
        <v>7</v>
      </c>
      <c r="G118" s="1" t="s">
        <v>6</v>
      </c>
      <c r="H118" s="1" t="s">
        <v>7</v>
      </c>
      <c r="I118" s="2" t="s">
        <v>232</v>
      </c>
      <c r="J118" s="1" t="s">
        <v>463</v>
      </c>
      <c r="K118" s="1" t="s">
        <v>550</v>
      </c>
      <c r="L118" s="1">
        <v>1</v>
      </c>
    </row>
    <row r="119" spans="1:12" hidden="1" x14ac:dyDescent="0.4">
      <c r="A119" s="1" t="s">
        <v>524</v>
      </c>
      <c r="B119" s="1" t="s">
        <v>3</v>
      </c>
      <c r="C119" s="2" t="s">
        <v>114</v>
      </c>
      <c r="D119" s="2" t="s">
        <v>517</v>
      </c>
      <c r="E119" s="1" t="s">
        <v>554</v>
      </c>
      <c r="F119" s="1" t="s">
        <v>7</v>
      </c>
      <c r="G119" s="1" t="s">
        <v>6</v>
      </c>
      <c r="H119" s="1" t="s">
        <v>7</v>
      </c>
      <c r="I119" s="2" t="s">
        <v>232</v>
      </c>
      <c r="J119" s="1" t="s">
        <v>463</v>
      </c>
      <c r="K119" s="1" t="s">
        <v>550</v>
      </c>
      <c r="L119" s="1">
        <v>1</v>
      </c>
    </row>
    <row r="120" spans="1:12" hidden="1" x14ac:dyDescent="0.4">
      <c r="A120" s="1" t="s">
        <v>525</v>
      </c>
      <c r="B120" s="1" t="s">
        <v>3</v>
      </c>
      <c r="C120" s="2" t="s">
        <v>114</v>
      </c>
      <c r="D120" s="2" t="s">
        <v>518</v>
      </c>
      <c r="E120" s="1" t="s">
        <v>554</v>
      </c>
      <c r="F120" s="1" t="s">
        <v>7</v>
      </c>
      <c r="G120" s="1" t="s">
        <v>6</v>
      </c>
      <c r="H120" s="1" t="s">
        <v>7</v>
      </c>
      <c r="I120" s="2" t="s">
        <v>232</v>
      </c>
      <c r="J120" s="1" t="s">
        <v>463</v>
      </c>
      <c r="K120" s="1" t="s">
        <v>550</v>
      </c>
    </row>
    <row r="121" spans="1:12" hidden="1" x14ac:dyDescent="0.4">
      <c r="A121" s="1" t="s">
        <v>526</v>
      </c>
      <c r="B121" s="2" t="s">
        <v>13</v>
      </c>
      <c r="C121" s="2" t="s">
        <v>114</v>
      </c>
      <c r="D121" s="1" t="s">
        <v>519</v>
      </c>
      <c r="E121" s="1" t="s">
        <v>554</v>
      </c>
      <c r="F121" s="1" t="s">
        <v>7</v>
      </c>
      <c r="G121" s="1" t="s">
        <v>6</v>
      </c>
      <c r="H121" s="1" t="s">
        <v>7</v>
      </c>
      <c r="I121" s="2" t="s">
        <v>232</v>
      </c>
      <c r="J121" s="1" t="s">
        <v>463</v>
      </c>
      <c r="K121" s="1" t="s">
        <v>550</v>
      </c>
      <c r="L121" s="1">
        <v>2</v>
      </c>
    </row>
    <row r="122" spans="1:12" hidden="1" x14ac:dyDescent="0.4">
      <c r="A122" s="1" t="s">
        <v>527</v>
      </c>
      <c r="B122" s="1" t="s">
        <v>3</v>
      </c>
      <c r="C122" s="2" t="s">
        <v>114</v>
      </c>
      <c r="D122" s="1" t="s">
        <v>520</v>
      </c>
      <c r="E122" s="1" t="s">
        <v>554</v>
      </c>
      <c r="F122" s="1" t="s">
        <v>7</v>
      </c>
      <c r="G122" s="1" t="s">
        <v>6</v>
      </c>
      <c r="H122" s="1" t="s">
        <v>7</v>
      </c>
      <c r="I122" s="2" t="s">
        <v>232</v>
      </c>
      <c r="J122" s="1" t="s">
        <v>463</v>
      </c>
      <c r="K122" s="1" t="s">
        <v>550</v>
      </c>
      <c r="L122" s="1">
        <v>1</v>
      </c>
    </row>
    <row r="123" spans="1:12" hidden="1" x14ac:dyDescent="0.4">
      <c r="A123" s="1" t="s">
        <v>529</v>
      </c>
      <c r="B123" s="2" t="s">
        <v>27</v>
      </c>
      <c r="C123" s="2" t="s">
        <v>461</v>
      </c>
      <c r="D123" s="6" t="s">
        <v>629</v>
      </c>
      <c r="E123" s="1" t="s">
        <v>501</v>
      </c>
      <c r="F123" s="1" t="s">
        <v>6</v>
      </c>
      <c r="G123" s="1" t="s">
        <v>6</v>
      </c>
      <c r="H123" s="1" t="s">
        <v>7</v>
      </c>
      <c r="I123" s="1" t="s">
        <v>475</v>
      </c>
      <c r="J123" s="1" t="s">
        <v>514</v>
      </c>
      <c r="K123" s="1" t="s">
        <v>548</v>
      </c>
    </row>
    <row r="124" spans="1:12" hidden="1" x14ac:dyDescent="0.4">
      <c r="A124" s="1" t="s">
        <v>532</v>
      </c>
      <c r="B124" s="1" t="s">
        <v>3</v>
      </c>
      <c r="C124" s="2" t="s">
        <v>114</v>
      </c>
      <c r="D124" s="1" t="s">
        <v>530</v>
      </c>
      <c r="E124" s="1" t="s">
        <v>554</v>
      </c>
      <c r="F124" s="1" t="s">
        <v>7</v>
      </c>
      <c r="G124" s="1" t="s">
        <v>6</v>
      </c>
      <c r="H124" s="1" t="s">
        <v>7</v>
      </c>
      <c r="I124" s="1" t="s">
        <v>473</v>
      </c>
      <c r="J124" s="1" t="s">
        <v>463</v>
      </c>
      <c r="K124" s="1" t="s">
        <v>550</v>
      </c>
      <c r="L124" s="1">
        <v>1</v>
      </c>
    </row>
    <row r="125" spans="1:12" hidden="1" x14ac:dyDescent="0.4">
      <c r="A125" s="1" t="s">
        <v>533</v>
      </c>
      <c r="B125" s="1" t="s">
        <v>3</v>
      </c>
      <c r="C125" s="2" t="s">
        <v>114</v>
      </c>
      <c r="D125" s="1" t="s">
        <v>531</v>
      </c>
      <c r="E125" s="1" t="s">
        <v>554</v>
      </c>
      <c r="F125" s="1" t="s">
        <v>7</v>
      </c>
      <c r="G125" s="1" t="s">
        <v>6</v>
      </c>
      <c r="H125" s="1" t="s">
        <v>7</v>
      </c>
      <c r="I125" s="1" t="s">
        <v>473</v>
      </c>
      <c r="J125" s="1" t="s">
        <v>463</v>
      </c>
      <c r="K125" s="1" t="s">
        <v>548</v>
      </c>
      <c r="L125" s="1">
        <v>1</v>
      </c>
    </row>
    <row r="126" spans="1:12" hidden="1" x14ac:dyDescent="0.4">
      <c r="A126" s="1" t="s">
        <v>535</v>
      </c>
      <c r="B126" s="1" t="s">
        <v>3</v>
      </c>
      <c r="C126" s="2" t="s">
        <v>114</v>
      </c>
      <c r="D126" s="1" t="s">
        <v>534</v>
      </c>
      <c r="E126" s="1" t="s">
        <v>554</v>
      </c>
      <c r="F126" s="1" t="s">
        <v>6</v>
      </c>
      <c r="G126" s="1" t="s">
        <v>6</v>
      </c>
      <c r="H126" s="1" t="s">
        <v>7</v>
      </c>
      <c r="I126" s="1" t="s">
        <v>465</v>
      </c>
      <c r="J126" s="1" t="s">
        <v>540</v>
      </c>
      <c r="K126" s="1" t="s">
        <v>548</v>
      </c>
    </row>
    <row r="127" spans="1:12" hidden="1" x14ac:dyDescent="0.4">
      <c r="A127" s="1" t="s">
        <v>538</v>
      </c>
      <c r="B127" s="1" t="s">
        <v>3</v>
      </c>
      <c r="C127" s="2" t="s">
        <v>462</v>
      </c>
      <c r="D127" s="1" t="s">
        <v>536</v>
      </c>
      <c r="E127" s="1" t="s">
        <v>554</v>
      </c>
      <c r="F127" s="1" t="s">
        <v>6</v>
      </c>
      <c r="G127" s="1" t="s">
        <v>6</v>
      </c>
      <c r="H127" s="1" t="s">
        <v>7</v>
      </c>
      <c r="I127" s="1" t="s">
        <v>477</v>
      </c>
      <c r="J127" s="1" t="s">
        <v>467</v>
      </c>
      <c r="K127" s="1" t="s">
        <v>550</v>
      </c>
    </row>
    <row r="128" spans="1:12" hidden="1" x14ac:dyDescent="0.4">
      <c r="A128" s="9" t="s">
        <v>539</v>
      </c>
      <c r="B128" s="1" t="s">
        <v>3</v>
      </c>
      <c r="C128" s="2" t="s">
        <v>462</v>
      </c>
      <c r="D128" s="1" t="s">
        <v>537</v>
      </c>
      <c r="E128" s="1" t="s">
        <v>554</v>
      </c>
      <c r="F128" s="1" t="s">
        <v>6</v>
      </c>
      <c r="G128" s="1" t="s">
        <v>6</v>
      </c>
      <c r="H128" s="1" t="s">
        <v>7</v>
      </c>
      <c r="I128" s="1" t="s">
        <v>477</v>
      </c>
      <c r="J128" s="1" t="s">
        <v>467</v>
      </c>
      <c r="K128" s="1" t="s">
        <v>550</v>
      </c>
    </row>
    <row r="129" spans="1:12" hidden="1" x14ac:dyDescent="0.4">
      <c r="A129" s="1" t="s">
        <v>545</v>
      </c>
      <c r="B129" s="1" t="s">
        <v>3</v>
      </c>
      <c r="C129" s="2" t="s">
        <v>114</v>
      </c>
      <c r="D129" s="1" t="s">
        <v>544</v>
      </c>
      <c r="E129" s="1" t="s">
        <v>554</v>
      </c>
      <c r="F129" s="1" t="s">
        <v>6</v>
      </c>
      <c r="G129" s="1" t="s">
        <v>6</v>
      </c>
      <c r="H129" s="1" t="s">
        <v>7</v>
      </c>
      <c r="I129" s="1" t="s">
        <v>473</v>
      </c>
      <c r="J129" s="1" t="s">
        <v>467</v>
      </c>
      <c r="K129" s="1" t="s">
        <v>548</v>
      </c>
      <c r="L129" s="1">
        <v>2</v>
      </c>
    </row>
    <row r="130" spans="1:12" hidden="1" x14ac:dyDescent="0.4">
      <c r="A130" s="1" t="s">
        <v>558</v>
      </c>
      <c r="B130" s="2" t="s">
        <v>27</v>
      </c>
      <c r="C130" s="2" t="s">
        <v>114</v>
      </c>
      <c r="D130" s="1" t="s">
        <v>556</v>
      </c>
      <c r="E130" s="1" t="s">
        <v>565</v>
      </c>
      <c r="F130" s="1" t="s">
        <v>6</v>
      </c>
      <c r="G130" s="1" t="s">
        <v>6</v>
      </c>
      <c r="H130" s="1" t="s">
        <v>7</v>
      </c>
      <c r="I130" s="1" t="s">
        <v>477</v>
      </c>
      <c r="J130" s="1" t="s">
        <v>467</v>
      </c>
      <c r="K130" s="1" t="s">
        <v>550</v>
      </c>
    </row>
    <row r="131" spans="1:12" hidden="1" x14ac:dyDescent="0.4">
      <c r="A131" s="1" t="s">
        <v>559</v>
      </c>
      <c r="B131" s="2" t="s">
        <v>27</v>
      </c>
      <c r="C131" s="2" t="s">
        <v>462</v>
      </c>
      <c r="D131" s="1" t="s">
        <v>557</v>
      </c>
      <c r="E131" s="1" t="s">
        <v>565</v>
      </c>
      <c r="F131" s="1" t="s">
        <v>6</v>
      </c>
      <c r="G131" s="1" t="s">
        <v>6</v>
      </c>
      <c r="H131" s="1" t="s">
        <v>7</v>
      </c>
      <c r="I131" s="1" t="s">
        <v>477</v>
      </c>
      <c r="J131" s="1" t="s">
        <v>467</v>
      </c>
      <c r="K131" s="1" t="s">
        <v>552</v>
      </c>
    </row>
    <row r="132" spans="1:12" hidden="1" x14ac:dyDescent="0.4">
      <c r="A132" s="1" t="s">
        <v>561</v>
      </c>
      <c r="B132" s="1" t="s">
        <v>3</v>
      </c>
      <c r="C132" s="2" t="s">
        <v>114</v>
      </c>
      <c r="D132" s="1" t="s">
        <v>560</v>
      </c>
      <c r="E132" s="1" t="s">
        <v>554</v>
      </c>
      <c r="F132" s="1" t="s">
        <v>6</v>
      </c>
      <c r="G132" s="1" t="s">
        <v>6</v>
      </c>
      <c r="H132" s="1" t="s">
        <v>7</v>
      </c>
      <c r="I132" s="1" t="s">
        <v>505</v>
      </c>
      <c r="J132" s="1" t="s">
        <v>463</v>
      </c>
      <c r="K132" s="1" t="s">
        <v>550</v>
      </c>
    </row>
    <row r="133" spans="1:12" hidden="1" x14ac:dyDescent="0.4">
      <c r="A133" s="1" t="s">
        <v>567</v>
      </c>
      <c r="B133" s="2" t="s">
        <v>5</v>
      </c>
      <c r="C133" s="2" t="s">
        <v>462</v>
      </c>
      <c r="D133" s="1" t="s">
        <v>566</v>
      </c>
      <c r="E133" s="1" t="s">
        <v>565</v>
      </c>
      <c r="F133" s="1" t="s">
        <v>7</v>
      </c>
      <c r="G133" s="1" t="s">
        <v>7</v>
      </c>
      <c r="H133" s="1" t="s">
        <v>6</v>
      </c>
      <c r="I133" s="1" t="s">
        <v>477</v>
      </c>
      <c r="J133" s="1" t="s">
        <v>467</v>
      </c>
      <c r="K133" s="1" t="s">
        <v>550</v>
      </c>
    </row>
    <row r="134" spans="1:12" x14ac:dyDescent="0.4">
      <c r="A134" s="1" t="s">
        <v>568</v>
      </c>
      <c r="B134" s="2" t="s">
        <v>5</v>
      </c>
      <c r="C134" s="2" t="s">
        <v>462</v>
      </c>
      <c r="D134" s="1" t="s">
        <v>284</v>
      </c>
      <c r="E134" s="1" t="s">
        <v>501</v>
      </c>
      <c r="F134" s="1" t="s">
        <v>7</v>
      </c>
      <c r="G134" s="1" t="s">
        <v>7</v>
      </c>
      <c r="H134" s="1" t="s">
        <v>7</v>
      </c>
      <c r="I134" s="1" t="s">
        <v>569</v>
      </c>
      <c r="J134" s="1" t="s">
        <v>501</v>
      </c>
      <c r="K134" s="1" t="s">
        <v>552</v>
      </c>
    </row>
    <row r="135" spans="1:12" hidden="1" x14ac:dyDescent="0.4">
      <c r="A135" s="1" t="s">
        <v>572</v>
      </c>
      <c r="B135" s="2" t="s">
        <v>5</v>
      </c>
      <c r="C135" s="2" t="s">
        <v>114</v>
      </c>
      <c r="D135" s="1" t="s">
        <v>570</v>
      </c>
      <c r="E135" s="1" t="s">
        <v>565</v>
      </c>
      <c r="F135" s="1" t="s">
        <v>7</v>
      </c>
      <c r="G135" s="1" t="s">
        <v>7</v>
      </c>
      <c r="H135" s="1" t="s">
        <v>7</v>
      </c>
      <c r="I135" s="1" t="s">
        <v>465</v>
      </c>
      <c r="J135" s="1" t="s">
        <v>463</v>
      </c>
      <c r="K135" s="1" t="s">
        <v>550</v>
      </c>
    </row>
    <row r="136" spans="1:12" hidden="1" x14ac:dyDescent="0.4">
      <c r="A136" s="1" t="s">
        <v>573</v>
      </c>
      <c r="B136" s="2" t="s">
        <v>5</v>
      </c>
      <c r="C136" s="2" t="s">
        <v>114</v>
      </c>
      <c r="D136" s="1" t="s">
        <v>571</v>
      </c>
      <c r="E136" s="1" t="s">
        <v>565</v>
      </c>
      <c r="F136" s="1" t="s">
        <v>7</v>
      </c>
      <c r="G136" s="1" t="s">
        <v>7</v>
      </c>
      <c r="H136" s="1" t="s">
        <v>7</v>
      </c>
      <c r="I136" s="1" t="s">
        <v>505</v>
      </c>
      <c r="J136" s="1" t="s">
        <v>463</v>
      </c>
      <c r="K136" s="1" t="s">
        <v>550</v>
      </c>
    </row>
    <row r="137" spans="1:12" hidden="1" x14ac:dyDescent="0.4">
      <c r="A137" s="1" t="s">
        <v>579</v>
      </c>
      <c r="B137" s="1" t="s">
        <v>5</v>
      </c>
      <c r="C137" s="1" t="s">
        <v>461</v>
      </c>
      <c r="D137" s="6" t="s">
        <v>575</v>
      </c>
      <c r="E137" s="1" t="s">
        <v>798</v>
      </c>
      <c r="F137" s="1" t="s">
        <v>7</v>
      </c>
      <c r="G137" s="1" t="s">
        <v>7</v>
      </c>
      <c r="H137" s="1" t="s">
        <v>7</v>
      </c>
      <c r="I137" s="1" t="s">
        <v>475</v>
      </c>
      <c r="J137" s="1" t="s">
        <v>467</v>
      </c>
      <c r="K137" s="1" t="s">
        <v>550</v>
      </c>
    </row>
    <row r="138" spans="1:12" hidden="1" x14ac:dyDescent="0.4">
      <c r="A138" s="1" t="s">
        <v>580</v>
      </c>
      <c r="B138" s="1" t="s">
        <v>5</v>
      </c>
      <c r="C138" s="1" t="s">
        <v>461</v>
      </c>
      <c r="D138" s="6" t="s">
        <v>576</v>
      </c>
      <c r="E138" s="1" t="s">
        <v>798</v>
      </c>
      <c r="F138" s="1" t="s">
        <v>7</v>
      </c>
      <c r="G138" s="1" t="s">
        <v>7</v>
      </c>
      <c r="H138" s="1" t="s">
        <v>7</v>
      </c>
      <c r="I138" s="1" t="s">
        <v>475</v>
      </c>
      <c r="J138" s="1" t="s">
        <v>467</v>
      </c>
      <c r="K138" s="1" t="s">
        <v>550</v>
      </c>
    </row>
    <row r="139" spans="1:12" hidden="1" x14ac:dyDescent="0.4">
      <c r="A139" s="1" t="s">
        <v>581</v>
      </c>
      <c r="B139" s="1" t="s">
        <v>5</v>
      </c>
      <c r="C139" s="1" t="s">
        <v>461</v>
      </c>
      <c r="D139" s="2" t="s">
        <v>577</v>
      </c>
      <c r="E139" s="1" t="s">
        <v>798</v>
      </c>
      <c r="F139" s="1" t="s">
        <v>7</v>
      </c>
      <c r="G139" s="1" t="s">
        <v>7</v>
      </c>
      <c r="H139" s="1" t="s">
        <v>7</v>
      </c>
      <c r="I139" s="1" t="s">
        <v>475</v>
      </c>
      <c r="J139" s="1" t="s">
        <v>467</v>
      </c>
      <c r="K139" s="1" t="s">
        <v>550</v>
      </c>
    </row>
    <row r="140" spans="1:12" hidden="1" x14ac:dyDescent="0.4">
      <c r="A140" s="1" t="s">
        <v>582</v>
      </c>
      <c r="B140" s="1" t="s">
        <v>5</v>
      </c>
      <c r="C140" s="1" t="s">
        <v>461</v>
      </c>
      <c r="D140" s="2" t="s">
        <v>255</v>
      </c>
      <c r="E140" s="1" t="s">
        <v>798</v>
      </c>
      <c r="F140" s="1" t="s">
        <v>7</v>
      </c>
      <c r="G140" s="1" t="s">
        <v>7</v>
      </c>
      <c r="H140" s="1" t="s">
        <v>7</v>
      </c>
      <c r="I140" s="1" t="s">
        <v>475</v>
      </c>
      <c r="J140" s="1" t="s">
        <v>467</v>
      </c>
      <c r="K140" s="1" t="s">
        <v>550</v>
      </c>
    </row>
    <row r="141" spans="1:12" hidden="1" x14ac:dyDescent="0.4">
      <c r="A141" s="1" t="s">
        <v>583</v>
      </c>
      <c r="B141" s="1" t="s">
        <v>5</v>
      </c>
      <c r="C141" s="1" t="s">
        <v>461</v>
      </c>
      <c r="D141" s="2" t="s">
        <v>578</v>
      </c>
      <c r="E141" s="1" t="s">
        <v>798</v>
      </c>
      <c r="F141" s="1" t="s">
        <v>7</v>
      </c>
      <c r="G141" s="1" t="s">
        <v>7</v>
      </c>
      <c r="H141" s="1" t="s">
        <v>7</v>
      </c>
      <c r="I141" s="1" t="s">
        <v>475</v>
      </c>
      <c r="J141" s="1" t="s">
        <v>467</v>
      </c>
      <c r="K141" s="1" t="s">
        <v>550</v>
      </c>
    </row>
    <row r="142" spans="1:12" hidden="1" x14ac:dyDescent="0.4">
      <c r="A142" s="1" t="s">
        <v>585</v>
      </c>
      <c r="B142" s="1" t="s">
        <v>5</v>
      </c>
      <c r="C142" s="1" t="s">
        <v>461</v>
      </c>
      <c r="D142" s="1" t="s">
        <v>584</v>
      </c>
      <c r="E142" s="1" t="s">
        <v>798</v>
      </c>
      <c r="F142" s="1" t="s">
        <v>7</v>
      </c>
      <c r="G142" s="1" t="s">
        <v>7</v>
      </c>
      <c r="H142" s="1" t="s">
        <v>7</v>
      </c>
      <c r="I142" s="1" t="s">
        <v>475</v>
      </c>
      <c r="J142" s="1" t="s">
        <v>467</v>
      </c>
      <c r="K142" s="1" t="s">
        <v>552</v>
      </c>
    </row>
    <row r="143" spans="1:12" hidden="1" x14ac:dyDescent="0.4">
      <c r="A143" s="1" t="s">
        <v>587</v>
      </c>
      <c r="B143" s="2" t="s">
        <v>5</v>
      </c>
      <c r="C143" s="2" t="s">
        <v>462</v>
      </c>
      <c r="D143" s="1" t="s">
        <v>586</v>
      </c>
      <c r="E143" s="1" t="s">
        <v>565</v>
      </c>
      <c r="F143" s="1" t="s">
        <v>7</v>
      </c>
      <c r="G143" s="1" t="s">
        <v>7</v>
      </c>
      <c r="H143" s="1" t="s">
        <v>6</v>
      </c>
      <c r="I143" s="1" t="s">
        <v>477</v>
      </c>
      <c r="J143" s="1" t="s">
        <v>463</v>
      </c>
      <c r="K143" s="1" t="s">
        <v>550</v>
      </c>
    </row>
    <row r="144" spans="1:12" hidden="1" x14ac:dyDescent="0.4">
      <c r="A144" s="1" t="s">
        <v>589</v>
      </c>
      <c r="B144" s="2" t="s">
        <v>5</v>
      </c>
      <c r="C144" s="1" t="s">
        <v>461</v>
      </c>
      <c r="D144" s="1" t="s">
        <v>588</v>
      </c>
      <c r="E144" s="1" t="s">
        <v>554</v>
      </c>
      <c r="F144" s="1" t="s">
        <v>7</v>
      </c>
      <c r="G144" s="1" t="s">
        <v>7</v>
      </c>
      <c r="H144" s="1" t="s">
        <v>6</v>
      </c>
      <c r="I144" s="1" t="s">
        <v>475</v>
      </c>
      <c r="J144" s="1" t="s">
        <v>542</v>
      </c>
      <c r="K144" s="1" t="s">
        <v>550</v>
      </c>
    </row>
    <row r="145" spans="1:13" hidden="1" x14ac:dyDescent="0.4">
      <c r="A145" s="1" t="s">
        <v>591</v>
      </c>
      <c r="B145" s="2" t="s">
        <v>5</v>
      </c>
      <c r="C145" s="2" t="s">
        <v>114</v>
      </c>
      <c r="D145" s="1" t="s">
        <v>590</v>
      </c>
      <c r="E145" s="1" t="s">
        <v>565</v>
      </c>
      <c r="F145" s="1" t="s">
        <v>7</v>
      </c>
      <c r="G145" s="1" t="s">
        <v>7</v>
      </c>
      <c r="H145" s="1" t="s">
        <v>6</v>
      </c>
      <c r="I145" s="1" t="s">
        <v>473</v>
      </c>
      <c r="J145" s="1" t="s">
        <v>463</v>
      </c>
      <c r="K145" s="1" t="s">
        <v>552</v>
      </c>
    </row>
    <row r="146" spans="1:13" hidden="1" x14ac:dyDescent="0.4">
      <c r="A146" s="1" t="s">
        <v>593</v>
      </c>
      <c r="B146" s="2" t="s">
        <v>5</v>
      </c>
      <c r="C146" s="2" t="s">
        <v>462</v>
      </c>
      <c r="D146" s="1" t="s">
        <v>592</v>
      </c>
      <c r="E146" s="1" t="s">
        <v>562</v>
      </c>
      <c r="F146" s="1" t="s">
        <v>7</v>
      </c>
      <c r="G146" s="1" t="s">
        <v>7</v>
      </c>
      <c r="H146" s="1" t="s">
        <v>6</v>
      </c>
      <c r="I146" s="1" t="s">
        <v>477</v>
      </c>
      <c r="J146" s="1" t="s">
        <v>489</v>
      </c>
      <c r="K146" s="1" t="s">
        <v>552</v>
      </c>
    </row>
    <row r="147" spans="1:13" hidden="1" x14ac:dyDescent="0.4">
      <c r="A147" s="1" t="s">
        <v>597</v>
      </c>
      <c r="B147" s="2" t="s">
        <v>5</v>
      </c>
      <c r="C147" s="2" t="s">
        <v>114</v>
      </c>
      <c r="D147" s="1" t="s">
        <v>594</v>
      </c>
      <c r="E147" s="1" t="s">
        <v>565</v>
      </c>
      <c r="F147" s="1" t="s">
        <v>7</v>
      </c>
      <c r="G147" s="1" t="s">
        <v>7</v>
      </c>
      <c r="H147" s="1" t="s">
        <v>7</v>
      </c>
      <c r="I147" s="1" t="s">
        <v>505</v>
      </c>
      <c r="J147" s="1" t="s">
        <v>463</v>
      </c>
      <c r="K147" s="1" t="s">
        <v>552</v>
      </c>
    </row>
    <row r="148" spans="1:13" x14ac:dyDescent="0.4">
      <c r="A148" s="1" t="s">
        <v>598</v>
      </c>
      <c r="B148" s="2" t="s">
        <v>479</v>
      </c>
      <c r="C148" s="2" t="s">
        <v>114</v>
      </c>
      <c r="D148" s="6" t="s">
        <v>595</v>
      </c>
      <c r="E148" s="1" t="s">
        <v>554</v>
      </c>
      <c r="F148" s="1" t="s">
        <v>7</v>
      </c>
      <c r="G148" s="1" t="s">
        <v>6</v>
      </c>
      <c r="H148" s="1" t="s">
        <v>7</v>
      </c>
      <c r="I148" s="1" t="s">
        <v>596</v>
      </c>
      <c r="J148" s="1" t="s">
        <v>540</v>
      </c>
      <c r="K148" s="1" t="s">
        <v>548</v>
      </c>
      <c r="M148" s="2" t="s">
        <v>120</v>
      </c>
    </row>
    <row r="149" spans="1:13" hidden="1" x14ac:dyDescent="0.4">
      <c r="A149" s="1" t="s">
        <v>601</v>
      </c>
      <c r="B149" s="2" t="s">
        <v>479</v>
      </c>
      <c r="C149" s="1" t="s">
        <v>461</v>
      </c>
      <c r="D149" s="1" t="s">
        <v>599</v>
      </c>
      <c r="E149" s="1" t="s">
        <v>554</v>
      </c>
      <c r="F149" s="1" t="s">
        <v>6</v>
      </c>
      <c r="G149" s="1" t="s">
        <v>6</v>
      </c>
      <c r="H149" s="1" t="s">
        <v>7</v>
      </c>
      <c r="I149" s="1" t="s">
        <v>488</v>
      </c>
      <c r="J149" s="1" t="s">
        <v>467</v>
      </c>
      <c r="K149" s="1" t="s">
        <v>552</v>
      </c>
      <c r="L149" s="1">
        <v>2</v>
      </c>
    </row>
    <row r="150" spans="1:13" hidden="1" x14ac:dyDescent="0.4">
      <c r="A150" s="1" t="s">
        <v>602</v>
      </c>
      <c r="B150" s="2" t="s">
        <v>479</v>
      </c>
      <c r="C150" s="1" t="s">
        <v>461</v>
      </c>
      <c r="D150" s="1" t="s">
        <v>600</v>
      </c>
      <c r="E150" s="1" t="s">
        <v>554</v>
      </c>
      <c r="F150" s="1" t="s">
        <v>6</v>
      </c>
      <c r="G150" s="1" t="s">
        <v>6</v>
      </c>
      <c r="H150" s="1" t="s">
        <v>7</v>
      </c>
      <c r="I150" s="1" t="s">
        <v>475</v>
      </c>
      <c r="J150" s="1" t="s">
        <v>467</v>
      </c>
      <c r="K150" s="1" t="s">
        <v>550</v>
      </c>
    </row>
    <row r="151" spans="1:13" hidden="1" x14ac:dyDescent="0.4">
      <c r="A151" s="1" t="s">
        <v>611</v>
      </c>
      <c r="B151" s="2" t="s">
        <v>479</v>
      </c>
      <c r="C151" s="1" t="s">
        <v>461</v>
      </c>
      <c r="D151" s="1" t="s">
        <v>603</v>
      </c>
      <c r="E151" s="1" t="s">
        <v>554</v>
      </c>
      <c r="I151" s="1" t="s">
        <v>475</v>
      </c>
      <c r="J151" s="1" t="s">
        <v>466</v>
      </c>
      <c r="K151" s="1" t="s">
        <v>550</v>
      </c>
    </row>
    <row r="152" spans="1:13" hidden="1" x14ac:dyDescent="0.4">
      <c r="A152" s="1" t="s">
        <v>612</v>
      </c>
      <c r="B152" s="2" t="s">
        <v>479</v>
      </c>
      <c r="C152" s="1" t="s">
        <v>461</v>
      </c>
      <c r="D152" s="1" t="s">
        <v>604</v>
      </c>
      <c r="E152" s="1" t="s">
        <v>554</v>
      </c>
      <c r="I152" s="1" t="s">
        <v>475</v>
      </c>
      <c r="J152" s="1" t="s">
        <v>466</v>
      </c>
      <c r="K152" s="1" t="s">
        <v>550</v>
      </c>
    </row>
    <row r="153" spans="1:13" hidden="1" x14ac:dyDescent="0.4">
      <c r="A153" s="1" t="s">
        <v>613</v>
      </c>
      <c r="B153" s="2" t="s">
        <v>479</v>
      </c>
      <c r="C153" s="1" t="s">
        <v>461</v>
      </c>
      <c r="D153" s="1" t="s">
        <v>605</v>
      </c>
      <c r="E153" s="1" t="s">
        <v>554</v>
      </c>
      <c r="I153" s="1" t="s">
        <v>475</v>
      </c>
      <c r="J153" s="1" t="s">
        <v>540</v>
      </c>
      <c r="K153" s="1" t="s">
        <v>550</v>
      </c>
    </row>
    <row r="154" spans="1:13" hidden="1" x14ac:dyDescent="0.4">
      <c r="A154" s="1" t="s">
        <v>614</v>
      </c>
      <c r="B154" s="2" t="s">
        <v>479</v>
      </c>
      <c r="C154" s="1" t="s">
        <v>461</v>
      </c>
      <c r="D154" s="1" t="s">
        <v>606</v>
      </c>
      <c r="E154" s="1" t="s">
        <v>554</v>
      </c>
      <c r="I154" s="1" t="s">
        <v>475</v>
      </c>
      <c r="J154" s="1" t="s">
        <v>514</v>
      </c>
      <c r="K154" s="1" t="s">
        <v>550</v>
      </c>
    </row>
    <row r="155" spans="1:13" hidden="1" x14ac:dyDescent="0.4">
      <c r="A155" s="1" t="s">
        <v>615</v>
      </c>
      <c r="B155" s="2" t="s">
        <v>35</v>
      </c>
      <c r="C155" s="1" t="s">
        <v>461</v>
      </c>
      <c r="D155" s="1" t="s">
        <v>607</v>
      </c>
      <c r="E155" s="1" t="s">
        <v>554</v>
      </c>
      <c r="I155" s="1" t="s">
        <v>475</v>
      </c>
      <c r="J155" s="1" t="s">
        <v>514</v>
      </c>
      <c r="K155" s="1" t="s">
        <v>548</v>
      </c>
    </row>
    <row r="156" spans="1:13" hidden="1" x14ac:dyDescent="0.4">
      <c r="A156" s="1" t="s">
        <v>616</v>
      </c>
      <c r="B156" s="2" t="s">
        <v>479</v>
      </c>
      <c r="C156" s="1" t="s">
        <v>461</v>
      </c>
      <c r="D156" s="1" t="s">
        <v>608</v>
      </c>
      <c r="E156" s="1" t="s">
        <v>554</v>
      </c>
      <c r="I156" s="1" t="s">
        <v>475</v>
      </c>
      <c r="J156" s="1" t="s">
        <v>514</v>
      </c>
      <c r="K156" s="1" t="s">
        <v>550</v>
      </c>
    </row>
    <row r="157" spans="1:13" hidden="1" x14ac:dyDescent="0.4">
      <c r="A157" s="1" t="s">
        <v>617</v>
      </c>
      <c r="B157" s="2" t="s">
        <v>479</v>
      </c>
      <c r="C157" s="1" t="s">
        <v>461</v>
      </c>
      <c r="D157" s="1" t="s">
        <v>609</v>
      </c>
      <c r="E157" s="1" t="s">
        <v>554</v>
      </c>
      <c r="I157" s="1" t="s">
        <v>475</v>
      </c>
      <c r="J157" s="1" t="s">
        <v>514</v>
      </c>
      <c r="K157" s="1" t="s">
        <v>548</v>
      </c>
    </row>
    <row r="158" spans="1:13" hidden="1" x14ac:dyDescent="0.4">
      <c r="A158" s="1" t="s">
        <v>618</v>
      </c>
      <c r="B158" s="2" t="s">
        <v>479</v>
      </c>
      <c r="C158" s="1" t="s">
        <v>461</v>
      </c>
      <c r="D158" s="1" t="s">
        <v>610</v>
      </c>
      <c r="E158" s="1" t="s">
        <v>554</v>
      </c>
      <c r="I158" s="1" t="s">
        <v>475</v>
      </c>
      <c r="J158" s="1" t="s">
        <v>467</v>
      </c>
      <c r="K158" s="1" t="s">
        <v>550</v>
      </c>
    </row>
    <row r="159" spans="1:13" hidden="1" x14ac:dyDescent="0.4">
      <c r="A159" s="1" t="s">
        <v>623</v>
      </c>
      <c r="B159" s="2" t="s">
        <v>479</v>
      </c>
      <c r="C159" s="1" t="s">
        <v>461</v>
      </c>
      <c r="D159" s="1" t="s">
        <v>619</v>
      </c>
      <c r="E159" s="1" t="s">
        <v>554</v>
      </c>
      <c r="I159" s="1" t="s">
        <v>475</v>
      </c>
      <c r="J159" s="1" t="s">
        <v>463</v>
      </c>
      <c r="K159" s="1" t="s">
        <v>548</v>
      </c>
    </row>
    <row r="160" spans="1:13" hidden="1" x14ac:dyDescent="0.4">
      <c r="A160" s="1" t="s">
        <v>624</v>
      </c>
      <c r="B160" s="2" t="s">
        <v>479</v>
      </c>
      <c r="C160" s="1" t="s">
        <v>461</v>
      </c>
      <c r="D160" s="1" t="s">
        <v>620</v>
      </c>
      <c r="E160" s="1" t="s">
        <v>554</v>
      </c>
      <c r="I160" s="1" t="s">
        <v>475</v>
      </c>
      <c r="J160" s="1" t="s">
        <v>463</v>
      </c>
      <c r="K160" s="1" t="s">
        <v>550</v>
      </c>
    </row>
    <row r="161" spans="1:13" hidden="1" x14ac:dyDescent="0.4">
      <c r="A161" s="1" t="s">
        <v>625</v>
      </c>
      <c r="B161" s="2" t="s">
        <v>111</v>
      </c>
      <c r="C161" s="1" t="s">
        <v>461</v>
      </c>
      <c r="D161" s="2" t="s">
        <v>621</v>
      </c>
      <c r="E161" s="1" t="s">
        <v>554</v>
      </c>
      <c r="I161" s="1" t="s">
        <v>488</v>
      </c>
      <c r="J161" s="1" t="s">
        <v>514</v>
      </c>
      <c r="K161" s="1" t="s">
        <v>548</v>
      </c>
    </row>
    <row r="162" spans="1:13" hidden="1" x14ac:dyDescent="0.4">
      <c r="A162" s="1" t="s">
        <v>626</v>
      </c>
      <c r="B162" s="2" t="s">
        <v>111</v>
      </c>
      <c r="C162" s="1" t="s">
        <v>461</v>
      </c>
      <c r="D162" s="1" t="s">
        <v>622</v>
      </c>
      <c r="E162" s="1" t="s">
        <v>554</v>
      </c>
      <c r="I162" s="1" t="s">
        <v>475</v>
      </c>
      <c r="J162" s="1" t="s">
        <v>467</v>
      </c>
      <c r="K162" s="1" t="s">
        <v>550</v>
      </c>
    </row>
    <row r="163" spans="1:13" hidden="1" x14ac:dyDescent="0.4">
      <c r="A163" s="1" t="s">
        <v>628</v>
      </c>
      <c r="B163" s="2" t="s">
        <v>27</v>
      </c>
      <c r="C163" s="2" t="s">
        <v>114</v>
      </c>
      <c r="D163" s="1" t="s">
        <v>627</v>
      </c>
      <c r="E163" s="1" t="s">
        <v>554</v>
      </c>
      <c r="I163" s="1" t="s">
        <v>473</v>
      </c>
      <c r="J163" s="1" t="s">
        <v>514</v>
      </c>
      <c r="K163" s="1" t="s">
        <v>550</v>
      </c>
    </row>
    <row r="164" spans="1:13" hidden="1" x14ac:dyDescent="0.4">
      <c r="A164" s="1" t="s">
        <v>633</v>
      </c>
      <c r="B164" s="1" t="s">
        <v>27</v>
      </c>
      <c r="C164" s="2" t="s">
        <v>114</v>
      </c>
      <c r="D164" s="2" t="s">
        <v>630</v>
      </c>
      <c r="E164" s="1" t="s">
        <v>554</v>
      </c>
      <c r="I164" s="1" t="s">
        <v>465</v>
      </c>
      <c r="J164" s="1" t="s">
        <v>514</v>
      </c>
      <c r="K164" s="1" t="s">
        <v>548</v>
      </c>
    </row>
    <row r="165" spans="1:13" hidden="1" x14ac:dyDescent="0.4">
      <c r="A165" s="1" t="s">
        <v>634</v>
      </c>
      <c r="B165" s="1" t="s">
        <v>27</v>
      </c>
      <c r="C165" s="1" t="s">
        <v>461</v>
      </c>
      <c r="D165" s="1" t="s">
        <v>631</v>
      </c>
      <c r="E165" s="1" t="s">
        <v>554</v>
      </c>
      <c r="I165" s="1" t="s">
        <v>475</v>
      </c>
      <c r="J165" s="1" t="s">
        <v>467</v>
      </c>
      <c r="K165" s="1" t="s">
        <v>550</v>
      </c>
      <c r="M165" s="2" t="s">
        <v>121</v>
      </c>
    </row>
    <row r="166" spans="1:13" hidden="1" x14ac:dyDescent="0.4">
      <c r="A166" s="1" t="s">
        <v>635</v>
      </c>
      <c r="B166" s="1" t="s">
        <v>27</v>
      </c>
      <c r="C166" s="2" t="s">
        <v>114</v>
      </c>
      <c r="D166" s="1" t="s">
        <v>632</v>
      </c>
      <c r="E166" s="1" t="s">
        <v>554</v>
      </c>
      <c r="I166" s="1" t="s">
        <v>475</v>
      </c>
      <c r="J166" s="1" t="s">
        <v>467</v>
      </c>
      <c r="K166" s="1" t="s">
        <v>550</v>
      </c>
    </row>
    <row r="167" spans="1:13" hidden="1" x14ac:dyDescent="0.4">
      <c r="A167" s="1" t="s">
        <v>637</v>
      </c>
      <c r="B167" s="1" t="s">
        <v>27</v>
      </c>
      <c r="C167" s="1" t="s">
        <v>461</v>
      </c>
      <c r="D167" s="1" t="s">
        <v>636</v>
      </c>
      <c r="E167" s="1" t="s">
        <v>554</v>
      </c>
      <c r="I167" s="1" t="s">
        <v>475</v>
      </c>
      <c r="J167" s="1" t="s">
        <v>467</v>
      </c>
      <c r="K167" s="1" t="s">
        <v>550</v>
      </c>
    </row>
    <row r="168" spans="1:13" hidden="1" x14ac:dyDescent="0.4">
      <c r="A168" s="1" t="s">
        <v>640</v>
      </c>
      <c r="B168" s="1" t="s">
        <v>27</v>
      </c>
      <c r="C168" s="2" t="s">
        <v>114</v>
      </c>
      <c r="D168" s="1" t="s">
        <v>638</v>
      </c>
      <c r="E168" s="1" t="s">
        <v>554</v>
      </c>
      <c r="I168" s="1" t="s">
        <v>596</v>
      </c>
      <c r="J168" s="1" t="s">
        <v>540</v>
      </c>
      <c r="K168" s="1" t="s">
        <v>548</v>
      </c>
    </row>
    <row r="169" spans="1:13" hidden="1" x14ac:dyDescent="0.4">
      <c r="A169" s="1" t="s">
        <v>641</v>
      </c>
      <c r="B169" s="1" t="s">
        <v>27</v>
      </c>
      <c r="C169" s="2" t="s">
        <v>114</v>
      </c>
      <c r="D169" s="1" t="s">
        <v>639</v>
      </c>
      <c r="E169" s="1" t="s">
        <v>554</v>
      </c>
      <c r="I169" s="1" t="s">
        <v>465</v>
      </c>
      <c r="J169" s="1" t="s">
        <v>463</v>
      </c>
      <c r="K169" s="1" t="s">
        <v>548</v>
      </c>
    </row>
    <row r="170" spans="1:13" hidden="1" x14ac:dyDescent="0.4">
      <c r="A170" s="1" t="s">
        <v>643</v>
      </c>
      <c r="B170" s="1" t="s">
        <v>27</v>
      </c>
      <c r="C170" s="2" t="s">
        <v>114</v>
      </c>
      <c r="D170" s="1" t="s">
        <v>642</v>
      </c>
      <c r="E170" s="1" t="s">
        <v>554</v>
      </c>
      <c r="I170" s="1" t="s">
        <v>465</v>
      </c>
      <c r="J170" s="1" t="s">
        <v>540</v>
      </c>
      <c r="K170" s="1" t="s">
        <v>548</v>
      </c>
    </row>
    <row r="171" spans="1:13" hidden="1" x14ac:dyDescent="0.4">
      <c r="A171" s="1" t="s">
        <v>645</v>
      </c>
      <c r="B171" s="1" t="s">
        <v>27</v>
      </c>
      <c r="C171" s="2" t="s">
        <v>114</v>
      </c>
      <c r="D171" s="1" t="s">
        <v>644</v>
      </c>
      <c r="E171" s="1" t="s">
        <v>554</v>
      </c>
      <c r="I171" s="1" t="s">
        <v>505</v>
      </c>
      <c r="J171" s="1" t="s">
        <v>463</v>
      </c>
      <c r="K171" s="1" t="s">
        <v>548</v>
      </c>
    </row>
    <row r="172" spans="1:13" hidden="1" x14ac:dyDescent="0.4">
      <c r="A172" s="1" t="s">
        <v>648</v>
      </c>
      <c r="B172" s="1" t="s">
        <v>27</v>
      </c>
      <c r="C172" s="1" t="s">
        <v>461</v>
      </c>
      <c r="D172" s="1" t="s">
        <v>646</v>
      </c>
      <c r="E172" s="1" t="s">
        <v>554</v>
      </c>
      <c r="I172" s="1" t="s">
        <v>488</v>
      </c>
      <c r="J172" s="1" t="s">
        <v>466</v>
      </c>
      <c r="K172" s="1" t="s">
        <v>550</v>
      </c>
    </row>
    <row r="173" spans="1:13" hidden="1" x14ac:dyDescent="0.4">
      <c r="A173" s="1" t="s">
        <v>649</v>
      </c>
      <c r="B173" s="1" t="s">
        <v>27</v>
      </c>
      <c r="C173" s="1" t="s">
        <v>461</v>
      </c>
      <c r="D173" s="2" t="s">
        <v>647</v>
      </c>
      <c r="E173" s="1" t="s">
        <v>554</v>
      </c>
      <c r="I173" s="1" t="s">
        <v>475</v>
      </c>
      <c r="J173" s="1" t="s">
        <v>463</v>
      </c>
      <c r="K173" s="1" t="s">
        <v>548</v>
      </c>
    </row>
    <row r="174" spans="1:13" hidden="1" x14ac:dyDescent="0.4">
      <c r="A174" s="1" t="s">
        <v>651</v>
      </c>
      <c r="B174" s="1" t="s">
        <v>27</v>
      </c>
      <c r="C174" s="1" t="s">
        <v>461</v>
      </c>
      <c r="D174" s="2" t="s">
        <v>650</v>
      </c>
      <c r="E174" s="1" t="s">
        <v>554</v>
      </c>
      <c r="I174" s="1" t="s">
        <v>475</v>
      </c>
      <c r="J174" s="1" t="s">
        <v>540</v>
      </c>
      <c r="K174" s="1" t="s">
        <v>548</v>
      </c>
    </row>
    <row r="175" spans="1:13" hidden="1" x14ac:dyDescent="0.4">
      <c r="A175" s="1" t="s">
        <v>654</v>
      </c>
      <c r="B175" s="1" t="s">
        <v>5</v>
      </c>
      <c r="C175" s="1" t="s">
        <v>461</v>
      </c>
      <c r="D175" s="2" t="s">
        <v>653</v>
      </c>
      <c r="E175" s="1" t="s">
        <v>501</v>
      </c>
      <c r="I175" s="1" t="s">
        <v>569</v>
      </c>
      <c r="J175" s="1" t="s">
        <v>501</v>
      </c>
      <c r="K175" s="1" t="s">
        <v>550</v>
      </c>
    </row>
    <row r="176" spans="1:13" hidden="1" x14ac:dyDescent="0.4">
      <c r="A176" s="1" t="s">
        <v>656</v>
      </c>
      <c r="B176" s="1" t="s">
        <v>27</v>
      </c>
      <c r="C176" s="1" t="s">
        <v>461</v>
      </c>
      <c r="D176" s="1" t="s">
        <v>655</v>
      </c>
      <c r="E176" s="1" t="s">
        <v>554</v>
      </c>
      <c r="I176" s="1" t="s">
        <v>488</v>
      </c>
      <c r="J176" s="1" t="s">
        <v>540</v>
      </c>
      <c r="K176" s="1" t="s">
        <v>548</v>
      </c>
    </row>
    <row r="177" spans="1:16" hidden="1" x14ac:dyDescent="0.4">
      <c r="A177" s="1" t="s">
        <v>663</v>
      </c>
      <c r="B177" s="2" t="s">
        <v>479</v>
      </c>
      <c r="C177" s="2" t="s">
        <v>114</v>
      </c>
      <c r="D177" s="1" t="s">
        <v>657</v>
      </c>
      <c r="E177" s="1" t="s">
        <v>554</v>
      </c>
      <c r="I177" s="1" t="s">
        <v>473</v>
      </c>
      <c r="J177" s="1" t="s">
        <v>467</v>
      </c>
      <c r="K177" s="1" t="s">
        <v>550</v>
      </c>
      <c r="L177" s="1">
        <v>2</v>
      </c>
    </row>
    <row r="178" spans="1:16" hidden="1" x14ac:dyDescent="0.4">
      <c r="A178" s="1" t="s">
        <v>664</v>
      </c>
      <c r="B178" s="2" t="s">
        <v>479</v>
      </c>
      <c r="C178" s="1" t="s">
        <v>461</v>
      </c>
      <c r="D178" s="1" t="s">
        <v>659</v>
      </c>
      <c r="E178" s="1" t="s">
        <v>554</v>
      </c>
      <c r="I178" s="1" t="s">
        <v>488</v>
      </c>
      <c r="J178" s="1" t="s">
        <v>463</v>
      </c>
      <c r="K178" s="1" t="s">
        <v>548</v>
      </c>
      <c r="L178" s="1">
        <v>2</v>
      </c>
      <c r="M178" s="2" t="s">
        <v>120</v>
      </c>
    </row>
    <row r="179" spans="1:16" hidden="1" x14ac:dyDescent="0.4">
      <c r="A179" s="1" t="s">
        <v>665</v>
      </c>
      <c r="B179" s="2" t="s">
        <v>5</v>
      </c>
      <c r="C179" s="1" t="s">
        <v>461</v>
      </c>
      <c r="D179" s="2" t="s">
        <v>660</v>
      </c>
      <c r="E179" s="1" t="s">
        <v>554</v>
      </c>
      <c r="I179" s="1" t="s">
        <v>488</v>
      </c>
      <c r="J179" s="1" t="s">
        <v>466</v>
      </c>
      <c r="K179" s="1" t="s">
        <v>550</v>
      </c>
    </row>
    <row r="180" spans="1:16" hidden="1" x14ac:dyDescent="0.4">
      <c r="A180" s="1" t="s">
        <v>666</v>
      </c>
      <c r="B180" s="1" t="s">
        <v>27</v>
      </c>
      <c r="C180" s="1" t="s">
        <v>461</v>
      </c>
      <c r="D180" s="2" t="s">
        <v>662</v>
      </c>
      <c r="E180" s="1" t="s">
        <v>554</v>
      </c>
      <c r="I180" s="1" t="s">
        <v>475</v>
      </c>
      <c r="J180" s="1" t="s">
        <v>463</v>
      </c>
      <c r="K180" s="1" t="s">
        <v>550</v>
      </c>
    </row>
    <row r="181" spans="1:16" hidden="1" x14ac:dyDescent="0.4">
      <c r="A181" s="1" t="s">
        <v>668</v>
      </c>
      <c r="B181" s="2" t="s">
        <v>479</v>
      </c>
      <c r="C181" s="1" t="s">
        <v>461</v>
      </c>
      <c r="D181" s="1" t="s">
        <v>667</v>
      </c>
      <c r="E181" s="1" t="s">
        <v>554</v>
      </c>
      <c r="I181" s="1" t="s">
        <v>475</v>
      </c>
      <c r="J181" s="1" t="s">
        <v>463</v>
      </c>
      <c r="K181" s="1" t="s">
        <v>550</v>
      </c>
    </row>
    <row r="182" spans="1:16" hidden="1" x14ac:dyDescent="0.4">
      <c r="A182" s="1" t="s">
        <v>670</v>
      </c>
      <c r="B182" s="2" t="s">
        <v>479</v>
      </c>
      <c r="C182" s="1" t="s">
        <v>461</v>
      </c>
      <c r="D182" s="1" t="s">
        <v>669</v>
      </c>
      <c r="E182" s="1" t="s">
        <v>554</v>
      </c>
      <c r="I182" s="1" t="s">
        <v>488</v>
      </c>
      <c r="J182" s="1" t="s">
        <v>463</v>
      </c>
      <c r="K182" s="1" t="s">
        <v>550</v>
      </c>
    </row>
    <row r="183" spans="1:16" hidden="1" x14ac:dyDescent="0.4">
      <c r="A183" s="1" t="s">
        <v>672</v>
      </c>
      <c r="B183" s="2" t="s">
        <v>479</v>
      </c>
      <c r="C183" s="1" t="s">
        <v>461</v>
      </c>
      <c r="D183" s="1" t="s">
        <v>671</v>
      </c>
      <c r="E183" s="1" t="s">
        <v>554</v>
      </c>
      <c r="I183" s="1" t="s">
        <v>475</v>
      </c>
      <c r="J183" s="1" t="s">
        <v>463</v>
      </c>
      <c r="K183" s="1" t="s">
        <v>548</v>
      </c>
    </row>
    <row r="184" spans="1:16" hidden="1" x14ac:dyDescent="0.4">
      <c r="A184" s="1" t="s">
        <v>674</v>
      </c>
      <c r="B184" s="2" t="s">
        <v>479</v>
      </c>
      <c r="C184" s="1" t="s">
        <v>461</v>
      </c>
      <c r="D184" s="1" t="s">
        <v>673</v>
      </c>
      <c r="E184" s="1" t="s">
        <v>554</v>
      </c>
      <c r="I184" s="1" t="s">
        <v>488</v>
      </c>
      <c r="J184" s="1" t="s">
        <v>463</v>
      </c>
      <c r="K184" s="1" t="s">
        <v>548</v>
      </c>
      <c r="P184" s="1" t="s">
        <v>675</v>
      </c>
    </row>
    <row r="185" spans="1:16" hidden="1" x14ac:dyDescent="0.4">
      <c r="A185" s="1" t="s">
        <v>676</v>
      </c>
      <c r="B185" s="2" t="s">
        <v>5</v>
      </c>
      <c r="C185" s="1" t="s">
        <v>461</v>
      </c>
      <c r="D185" s="2" t="s">
        <v>679</v>
      </c>
      <c r="E185" s="1" t="s">
        <v>562</v>
      </c>
      <c r="I185" s="1" t="s">
        <v>488</v>
      </c>
      <c r="J185" s="1" t="s">
        <v>540</v>
      </c>
      <c r="K185" s="1" t="s">
        <v>552</v>
      </c>
    </row>
    <row r="186" spans="1:16" hidden="1" x14ac:dyDescent="0.4">
      <c r="A186" s="1" t="s">
        <v>677</v>
      </c>
      <c r="B186" s="2" t="s">
        <v>5</v>
      </c>
      <c r="C186" s="1" t="s">
        <v>461</v>
      </c>
      <c r="D186" s="2" t="s">
        <v>678</v>
      </c>
      <c r="E186" s="1" t="s">
        <v>562</v>
      </c>
      <c r="I186" s="1" t="s">
        <v>488</v>
      </c>
      <c r="J186" s="1" t="s">
        <v>540</v>
      </c>
      <c r="K186" s="1" t="s">
        <v>552</v>
      </c>
    </row>
    <row r="187" spans="1:16" hidden="1" x14ac:dyDescent="0.4">
      <c r="A187" s="1" t="s">
        <v>681</v>
      </c>
      <c r="B187" s="2" t="s">
        <v>5</v>
      </c>
      <c r="C187" s="1" t="s">
        <v>461</v>
      </c>
      <c r="D187" s="1" t="s">
        <v>680</v>
      </c>
      <c r="E187" s="1" t="s">
        <v>501</v>
      </c>
      <c r="I187" s="1" t="s">
        <v>488</v>
      </c>
      <c r="J187" s="1" t="s">
        <v>501</v>
      </c>
      <c r="K187" s="1" t="s">
        <v>550</v>
      </c>
    </row>
    <row r="188" spans="1:16" hidden="1" x14ac:dyDescent="0.4">
      <c r="A188" s="1" t="s">
        <v>683</v>
      </c>
      <c r="B188" s="2" t="s">
        <v>5</v>
      </c>
      <c r="C188" s="1" t="s">
        <v>461</v>
      </c>
      <c r="D188" s="1" t="s">
        <v>682</v>
      </c>
      <c r="E188" s="1" t="s">
        <v>565</v>
      </c>
      <c r="I188" s="1" t="s">
        <v>488</v>
      </c>
      <c r="J188" s="1" t="s">
        <v>466</v>
      </c>
      <c r="K188" s="1" t="s">
        <v>548</v>
      </c>
      <c r="P188" s="1" t="s">
        <v>684</v>
      </c>
    </row>
    <row r="189" spans="1:16" hidden="1" x14ac:dyDescent="0.4">
      <c r="A189" s="1" t="s">
        <v>686</v>
      </c>
      <c r="B189" s="2" t="s">
        <v>5</v>
      </c>
      <c r="C189" s="1" t="s">
        <v>461</v>
      </c>
      <c r="D189" s="1" t="s">
        <v>685</v>
      </c>
      <c r="E189" s="1" t="s">
        <v>565</v>
      </c>
      <c r="I189" s="1" t="s">
        <v>488</v>
      </c>
      <c r="J189" s="1" t="s">
        <v>466</v>
      </c>
      <c r="K189" s="1" t="s">
        <v>548</v>
      </c>
      <c r="P189" s="1" t="s">
        <v>684</v>
      </c>
    </row>
    <row r="190" spans="1:16" hidden="1" x14ac:dyDescent="0.4">
      <c r="A190" s="9" t="s">
        <v>688</v>
      </c>
      <c r="B190" s="2" t="s">
        <v>479</v>
      </c>
      <c r="C190" s="2" t="s">
        <v>462</v>
      </c>
      <c r="D190" s="1" t="s">
        <v>687</v>
      </c>
      <c r="E190" s="1" t="s">
        <v>554</v>
      </c>
      <c r="I190" s="1" t="s">
        <v>488</v>
      </c>
      <c r="J190" s="1" t="s">
        <v>467</v>
      </c>
      <c r="K190" s="1" t="s">
        <v>550</v>
      </c>
      <c r="N190" s="2" t="s">
        <v>697</v>
      </c>
    </row>
    <row r="191" spans="1:16" hidden="1" x14ac:dyDescent="0.4">
      <c r="A191" s="1" t="s">
        <v>689</v>
      </c>
      <c r="B191" s="2" t="s">
        <v>479</v>
      </c>
      <c r="C191" s="1" t="s">
        <v>461</v>
      </c>
      <c r="D191" s="2" t="s">
        <v>703</v>
      </c>
      <c r="E191" s="1" t="s">
        <v>554</v>
      </c>
      <c r="F191" s="1" t="s">
        <v>6</v>
      </c>
      <c r="G191" s="1" t="s">
        <v>6</v>
      </c>
      <c r="H191" s="1" t="s">
        <v>7</v>
      </c>
      <c r="I191" s="1" t="s">
        <v>475</v>
      </c>
      <c r="J191" s="1" t="s">
        <v>467</v>
      </c>
      <c r="K191" s="1" t="s">
        <v>552</v>
      </c>
      <c r="N191" s="2" t="s">
        <v>697</v>
      </c>
    </row>
    <row r="192" spans="1:16" hidden="1" x14ac:dyDescent="0.4">
      <c r="A192" s="9" t="s">
        <v>722</v>
      </c>
      <c r="B192" s="1" t="s">
        <v>479</v>
      </c>
      <c r="C192" s="1" t="s">
        <v>698</v>
      </c>
      <c r="D192" s="2" t="s">
        <v>704</v>
      </c>
      <c r="E192" s="1" t="s">
        <v>554</v>
      </c>
      <c r="F192" s="1" t="s">
        <v>7</v>
      </c>
      <c r="G192" s="1" t="s">
        <v>6</v>
      </c>
      <c r="H192" s="1" t="s">
        <v>7</v>
      </c>
      <c r="I192" s="1" t="s">
        <v>465</v>
      </c>
      <c r="J192" s="1" t="s">
        <v>463</v>
      </c>
      <c r="K192" s="1" t="s">
        <v>552</v>
      </c>
      <c r="N192" s="2" t="s">
        <v>697</v>
      </c>
    </row>
    <row r="193" spans="1:14" hidden="1" x14ac:dyDescent="0.4">
      <c r="A193" s="1" t="s">
        <v>723</v>
      </c>
      <c r="B193" s="1" t="s">
        <v>479</v>
      </c>
      <c r="C193" s="1" t="s">
        <v>698</v>
      </c>
      <c r="D193" s="1" t="s">
        <v>705</v>
      </c>
      <c r="E193" s="1" t="s">
        <v>554</v>
      </c>
      <c r="F193" s="1" t="s">
        <v>6</v>
      </c>
      <c r="G193" s="1" t="s">
        <v>6</v>
      </c>
      <c r="H193" s="1" t="s">
        <v>7</v>
      </c>
      <c r="I193" s="1" t="s">
        <v>465</v>
      </c>
      <c r="J193" s="1" t="s">
        <v>463</v>
      </c>
      <c r="K193" s="1" t="s">
        <v>550</v>
      </c>
      <c r="N193" s="2" t="s">
        <v>697</v>
      </c>
    </row>
    <row r="194" spans="1:14" hidden="1" x14ac:dyDescent="0.4">
      <c r="A194" s="1" t="s">
        <v>724</v>
      </c>
      <c r="B194" s="1" t="s">
        <v>479</v>
      </c>
      <c r="C194" s="1" t="s">
        <v>698</v>
      </c>
      <c r="D194" s="1" t="s">
        <v>706</v>
      </c>
      <c r="E194" s="1" t="s">
        <v>554</v>
      </c>
      <c r="F194" s="1" t="s">
        <v>6</v>
      </c>
      <c r="G194" s="1" t="s">
        <v>6</v>
      </c>
      <c r="H194" s="1" t="s">
        <v>7</v>
      </c>
      <c r="I194" s="1" t="s">
        <v>465</v>
      </c>
      <c r="J194" s="1" t="s">
        <v>463</v>
      </c>
      <c r="K194" s="1" t="s">
        <v>550</v>
      </c>
      <c r="M194" s="2" t="s">
        <v>121</v>
      </c>
      <c r="N194" s="2" t="s">
        <v>697</v>
      </c>
    </row>
    <row r="195" spans="1:14" hidden="1" x14ac:dyDescent="0.4">
      <c r="A195" s="9" t="s">
        <v>725</v>
      </c>
      <c r="B195" s="1" t="s">
        <v>661</v>
      </c>
      <c r="C195" s="1" t="s">
        <v>698</v>
      </c>
      <c r="D195" s="1" t="s">
        <v>707</v>
      </c>
      <c r="E195" s="1" t="s">
        <v>554</v>
      </c>
      <c r="F195" s="1" t="s">
        <v>6</v>
      </c>
      <c r="G195" s="1" t="s">
        <v>6</v>
      </c>
      <c r="H195" s="1" t="s">
        <v>7</v>
      </c>
      <c r="I195" s="1" t="s">
        <v>465</v>
      </c>
      <c r="J195" s="1" t="s">
        <v>463</v>
      </c>
      <c r="K195" s="1" t="s">
        <v>550</v>
      </c>
      <c r="L195" s="1">
        <v>2</v>
      </c>
      <c r="N195" s="2" t="s">
        <v>697</v>
      </c>
    </row>
    <row r="196" spans="1:14" hidden="1" x14ac:dyDescent="0.4">
      <c r="A196" s="1" t="s">
        <v>726</v>
      </c>
      <c r="B196" s="1" t="s">
        <v>661</v>
      </c>
      <c r="C196" s="1" t="s">
        <v>698</v>
      </c>
      <c r="D196" s="1" t="s">
        <v>708</v>
      </c>
      <c r="E196" s="1" t="s">
        <v>554</v>
      </c>
      <c r="F196" s="1" t="s">
        <v>6</v>
      </c>
      <c r="G196" s="1" t="s">
        <v>6</v>
      </c>
      <c r="H196" s="1" t="s">
        <v>7</v>
      </c>
      <c r="I196" s="1" t="s">
        <v>465</v>
      </c>
      <c r="J196" s="1" t="s">
        <v>463</v>
      </c>
      <c r="K196" s="1" t="s">
        <v>550</v>
      </c>
      <c r="N196" s="2" t="s">
        <v>697</v>
      </c>
    </row>
    <row r="197" spans="1:14" hidden="1" x14ac:dyDescent="0.4">
      <c r="A197" s="9" t="s">
        <v>727</v>
      </c>
      <c r="B197" s="1" t="s">
        <v>661</v>
      </c>
      <c r="C197" s="1" t="s">
        <v>698</v>
      </c>
      <c r="D197" s="1" t="s">
        <v>709</v>
      </c>
      <c r="E197" s="1" t="s">
        <v>554</v>
      </c>
      <c r="F197" s="1" t="s">
        <v>6</v>
      </c>
      <c r="G197" s="1" t="s">
        <v>6</v>
      </c>
      <c r="H197" s="1" t="s">
        <v>7</v>
      </c>
      <c r="I197" s="1" t="s">
        <v>465</v>
      </c>
      <c r="J197" s="1" t="s">
        <v>463</v>
      </c>
      <c r="K197" s="1" t="s">
        <v>550</v>
      </c>
      <c r="N197" s="2" t="s">
        <v>697</v>
      </c>
    </row>
    <row r="198" spans="1:14" hidden="1" x14ac:dyDescent="0.4">
      <c r="A198" s="1" t="s">
        <v>728</v>
      </c>
      <c r="B198" s="1" t="s">
        <v>479</v>
      </c>
      <c r="C198" s="1" t="s">
        <v>698</v>
      </c>
      <c r="D198" s="6" t="s">
        <v>710</v>
      </c>
      <c r="E198" s="1" t="s">
        <v>554</v>
      </c>
      <c r="F198" s="1" t="s">
        <v>7</v>
      </c>
      <c r="G198" s="1" t="s">
        <v>6</v>
      </c>
      <c r="H198" s="1" t="s">
        <v>7</v>
      </c>
      <c r="I198" s="1" t="s">
        <v>465</v>
      </c>
      <c r="J198" s="1" t="s">
        <v>463</v>
      </c>
      <c r="K198" s="1" t="s">
        <v>550</v>
      </c>
      <c r="N198" s="2" t="s">
        <v>697</v>
      </c>
    </row>
    <row r="199" spans="1:14" hidden="1" x14ac:dyDescent="0.4">
      <c r="A199" s="9" t="s">
        <v>729</v>
      </c>
      <c r="B199" s="1" t="s">
        <v>661</v>
      </c>
      <c r="C199" s="1" t="s">
        <v>698</v>
      </c>
      <c r="D199" s="1" t="s">
        <v>711</v>
      </c>
      <c r="E199" s="1" t="s">
        <v>554</v>
      </c>
      <c r="F199" s="1" t="s">
        <v>6</v>
      </c>
      <c r="G199" s="1" t="s">
        <v>6</v>
      </c>
      <c r="H199" s="1" t="s">
        <v>7</v>
      </c>
      <c r="I199" s="1" t="s">
        <v>465</v>
      </c>
      <c r="J199" s="1" t="s">
        <v>463</v>
      </c>
      <c r="K199" s="1" t="s">
        <v>550</v>
      </c>
      <c r="N199" s="2" t="s">
        <v>697</v>
      </c>
    </row>
    <row r="200" spans="1:14" hidden="1" x14ac:dyDescent="0.4">
      <c r="A200" s="1" t="s">
        <v>730</v>
      </c>
      <c r="B200" s="1" t="s">
        <v>479</v>
      </c>
      <c r="C200" s="1" t="s">
        <v>698</v>
      </c>
      <c r="D200" s="1" t="s">
        <v>712</v>
      </c>
      <c r="E200" s="1" t="s">
        <v>554</v>
      </c>
      <c r="F200" s="1" t="s">
        <v>6</v>
      </c>
      <c r="G200" s="1" t="s">
        <v>6</v>
      </c>
      <c r="H200" s="1" t="s">
        <v>7</v>
      </c>
      <c r="I200" s="1" t="s">
        <v>465</v>
      </c>
      <c r="J200" s="1" t="s">
        <v>463</v>
      </c>
      <c r="K200" s="1" t="s">
        <v>550</v>
      </c>
      <c r="L200" s="1">
        <v>3</v>
      </c>
      <c r="N200" s="2" t="s">
        <v>697</v>
      </c>
    </row>
    <row r="201" spans="1:14" hidden="1" x14ac:dyDescent="0.4">
      <c r="A201" s="9" t="s">
        <v>731</v>
      </c>
      <c r="B201" s="1" t="s">
        <v>661</v>
      </c>
      <c r="C201" s="1" t="s">
        <v>698</v>
      </c>
      <c r="D201" s="1" t="s">
        <v>713</v>
      </c>
      <c r="E201" s="1" t="s">
        <v>554</v>
      </c>
      <c r="F201" s="1" t="s">
        <v>6</v>
      </c>
      <c r="G201" s="1" t="s">
        <v>6</v>
      </c>
      <c r="H201" s="1" t="s">
        <v>7</v>
      </c>
      <c r="I201" s="1" t="s">
        <v>465</v>
      </c>
      <c r="J201" s="1" t="s">
        <v>463</v>
      </c>
      <c r="K201" s="1" t="s">
        <v>550</v>
      </c>
      <c r="N201" s="2" t="s">
        <v>697</v>
      </c>
    </row>
    <row r="202" spans="1:14" hidden="1" x14ac:dyDescent="0.4">
      <c r="A202" s="1" t="s">
        <v>732</v>
      </c>
      <c r="B202" s="1" t="s">
        <v>479</v>
      </c>
      <c r="C202" s="1" t="s">
        <v>698</v>
      </c>
      <c r="D202" s="1" t="s">
        <v>714</v>
      </c>
      <c r="E202" s="1" t="s">
        <v>554</v>
      </c>
      <c r="F202" s="1" t="s">
        <v>7</v>
      </c>
      <c r="G202" s="1" t="s">
        <v>6</v>
      </c>
      <c r="H202" s="1" t="s">
        <v>7</v>
      </c>
      <c r="I202" s="1" t="s">
        <v>465</v>
      </c>
      <c r="J202" s="1" t="s">
        <v>463</v>
      </c>
      <c r="K202" s="1" t="s">
        <v>550</v>
      </c>
      <c r="N202" s="2" t="s">
        <v>697</v>
      </c>
    </row>
    <row r="203" spans="1:14" hidden="1" x14ac:dyDescent="0.4">
      <c r="A203" s="1" t="s">
        <v>733</v>
      </c>
      <c r="B203" s="1" t="s">
        <v>479</v>
      </c>
      <c r="C203" s="1" t="s">
        <v>698</v>
      </c>
      <c r="D203" s="1" t="s">
        <v>715</v>
      </c>
      <c r="E203" s="1" t="s">
        <v>554</v>
      </c>
      <c r="F203" s="1" t="s">
        <v>6</v>
      </c>
      <c r="G203" s="1" t="s">
        <v>6</v>
      </c>
      <c r="H203" s="1" t="s">
        <v>7</v>
      </c>
      <c r="I203" s="1" t="s">
        <v>465</v>
      </c>
      <c r="J203" s="1" t="s">
        <v>463</v>
      </c>
      <c r="K203" s="1" t="s">
        <v>550</v>
      </c>
      <c r="N203" s="2" t="s">
        <v>697</v>
      </c>
    </row>
    <row r="204" spans="1:14" hidden="1" x14ac:dyDescent="0.4">
      <c r="A204" s="1" t="s">
        <v>734</v>
      </c>
      <c r="B204" s="1" t="s">
        <v>479</v>
      </c>
      <c r="C204" s="1" t="s">
        <v>698</v>
      </c>
      <c r="D204" s="1" t="s">
        <v>716</v>
      </c>
      <c r="E204" s="1" t="s">
        <v>554</v>
      </c>
      <c r="F204" s="1" t="s">
        <v>7</v>
      </c>
      <c r="G204" s="1" t="s">
        <v>6</v>
      </c>
      <c r="H204" s="1" t="s">
        <v>7</v>
      </c>
      <c r="I204" s="1" t="s">
        <v>465</v>
      </c>
      <c r="J204" s="1" t="s">
        <v>463</v>
      </c>
      <c r="K204" s="1" t="s">
        <v>550</v>
      </c>
      <c r="N204" s="2" t="s">
        <v>697</v>
      </c>
    </row>
    <row r="205" spans="1:14" hidden="1" x14ac:dyDescent="0.4">
      <c r="A205" s="1" t="s">
        <v>735</v>
      </c>
      <c r="B205" s="1" t="s">
        <v>652</v>
      </c>
      <c r="C205" s="1" t="s">
        <v>698</v>
      </c>
      <c r="D205" s="1" t="s">
        <v>717</v>
      </c>
      <c r="E205" s="1" t="s">
        <v>554</v>
      </c>
      <c r="F205" s="1" t="s">
        <v>7</v>
      </c>
      <c r="G205" s="1" t="s">
        <v>6</v>
      </c>
      <c r="H205" s="1" t="s">
        <v>7</v>
      </c>
      <c r="I205" s="1" t="s">
        <v>465</v>
      </c>
      <c r="J205" s="1" t="s">
        <v>463</v>
      </c>
      <c r="K205" s="1" t="s">
        <v>550</v>
      </c>
      <c r="N205" s="2" t="s">
        <v>697</v>
      </c>
    </row>
    <row r="206" spans="1:14" hidden="1" x14ac:dyDescent="0.4">
      <c r="A206" s="1" t="s">
        <v>736</v>
      </c>
      <c r="B206" s="1" t="s">
        <v>479</v>
      </c>
      <c r="C206" s="1" t="s">
        <v>698</v>
      </c>
      <c r="D206" s="1" t="s">
        <v>718</v>
      </c>
      <c r="E206" s="1" t="s">
        <v>554</v>
      </c>
      <c r="F206" s="1" t="s">
        <v>7</v>
      </c>
      <c r="G206" s="1" t="s">
        <v>6</v>
      </c>
      <c r="H206" s="1" t="s">
        <v>7</v>
      </c>
      <c r="I206" s="1" t="s">
        <v>465</v>
      </c>
      <c r="J206" s="1" t="s">
        <v>463</v>
      </c>
      <c r="K206" s="1" t="s">
        <v>550</v>
      </c>
      <c r="N206" s="2" t="s">
        <v>697</v>
      </c>
    </row>
    <row r="207" spans="1:14" hidden="1" x14ac:dyDescent="0.4">
      <c r="A207" s="1" t="s">
        <v>746</v>
      </c>
      <c r="B207" s="1" t="s">
        <v>661</v>
      </c>
      <c r="C207" s="1" t="s">
        <v>698</v>
      </c>
      <c r="D207" s="1" t="s">
        <v>737</v>
      </c>
      <c r="E207" s="1" t="s">
        <v>554</v>
      </c>
      <c r="F207" s="1" t="s">
        <v>6</v>
      </c>
      <c r="G207" s="1" t="s">
        <v>6</v>
      </c>
      <c r="H207" s="1" t="s">
        <v>7</v>
      </c>
      <c r="I207" s="1" t="s">
        <v>505</v>
      </c>
      <c r="J207" s="1" t="s">
        <v>463</v>
      </c>
      <c r="K207" s="1" t="s">
        <v>550</v>
      </c>
      <c r="N207" s="2" t="s">
        <v>697</v>
      </c>
    </row>
    <row r="208" spans="1:14" hidden="1" x14ac:dyDescent="0.4">
      <c r="A208" s="1" t="s">
        <v>747</v>
      </c>
      <c r="B208" s="1" t="s">
        <v>658</v>
      </c>
      <c r="C208" s="1" t="s">
        <v>698</v>
      </c>
      <c r="D208" s="1" t="s">
        <v>738</v>
      </c>
      <c r="E208" s="1" t="s">
        <v>554</v>
      </c>
      <c r="F208" s="1" t="s">
        <v>6</v>
      </c>
      <c r="G208" s="1" t="s">
        <v>6</v>
      </c>
      <c r="H208" s="1" t="s">
        <v>7</v>
      </c>
      <c r="I208" s="1" t="s">
        <v>505</v>
      </c>
      <c r="J208" s="1" t="s">
        <v>463</v>
      </c>
      <c r="K208" s="1" t="s">
        <v>550</v>
      </c>
      <c r="N208" s="2" t="s">
        <v>697</v>
      </c>
    </row>
    <row r="209" spans="1:14" hidden="1" x14ac:dyDescent="0.4">
      <c r="A209" s="1" t="s">
        <v>748</v>
      </c>
      <c r="B209" s="1" t="s">
        <v>661</v>
      </c>
      <c r="C209" s="1" t="s">
        <v>698</v>
      </c>
      <c r="D209" s="1" t="s">
        <v>739</v>
      </c>
      <c r="E209" s="1" t="s">
        <v>554</v>
      </c>
      <c r="F209" s="1" t="s">
        <v>6</v>
      </c>
      <c r="G209" s="1" t="s">
        <v>6</v>
      </c>
      <c r="H209" s="1" t="s">
        <v>7</v>
      </c>
      <c r="I209" s="1" t="s">
        <v>505</v>
      </c>
      <c r="J209" s="1" t="s">
        <v>463</v>
      </c>
      <c r="K209" s="1" t="s">
        <v>550</v>
      </c>
      <c r="N209" s="2" t="s">
        <v>697</v>
      </c>
    </row>
    <row r="210" spans="1:14" hidden="1" x14ac:dyDescent="0.4">
      <c r="A210" s="1" t="s">
        <v>749</v>
      </c>
      <c r="B210" s="1" t="s">
        <v>658</v>
      </c>
      <c r="C210" s="1" t="s">
        <v>698</v>
      </c>
      <c r="D210" s="6" t="s">
        <v>740</v>
      </c>
      <c r="E210" s="1" t="s">
        <v>554</v>
      </c>
      <c r="F210" s="1" t="s">
        <v>6</v>
      </c>
      <c r="G210" s="1" t="s">
        <v>6</v>
      </c>
      <c r="H210" s="1" t="s">
        <v>7</v>
      </c>
      <c r="I210" s="1" t="s">
        <v>505</v>
      </c>
      <c r="J210" s="1" t="s">
        <v>463</v>
      </c>
      <c r="K210" s="1" t="s">
        <v>550</v>
      </c>
      <c r="N210" s="2" t="s">
        <v>697</v>
      </c>
    </row>
    <row r="211" spans="1:14" hidden="1" x14ac:dyDescent="0.4">
      <c r="A211" s="1" t="s">
        <v>750</v>
      </c>
      <c r="B211" s="1" t="s">
        <v>652</v>
      </c>
      <c r="C211" s="1" t="s">
        <v>698</v>
      </c>
      <c r="D211" s="1" t="s">
        <v>741</v>
      </c>
      <c r="E211" s="1" t="s">
        <v>554</v>
      </c>
      <c r="F211" s="1" t="s">
        <v>6</v>
      </c>
      <c r="G211" s="1" t="s">
        <v>6</v>
      </c>
      <c r="H211" s="1" t="s">
        <v>7</v>
      </c>
      <c r="I211" s="1" t="s">
        <v>505</v>
      </c>
      <c r="J211" s="1" t="s">
        <v>463</v>
      </c>
      <c r="K211" s="1" t="s">
        <v>552</v>
      </c>
      <c r="N211" s="2" t="s">
        <v>697</v>
      </c>
    </row>
    <row r="212" spans="1:14" hidden="1" x14ac:dyDescent="0.4">
      <c r="A212" s="1" t="s">
        <v>751</v>
      </c>
      <c r="B212" s="1" t="s">
        <v>658</v>
      </c>
      <c r="C212" s="1" t="s">
        <v>698</v>
      </c>
      <c r="D212" s="1" t="s">
        <v>742</v>
      </c>
      <c r="E212" s="1" t="s">
        <v>554</v>
      </c>
      <c r="F212" s="1" t="s">
        <v>6</v>
      </c>
      <c r="G212" s="1" t="s">
        <v>6</v>
      </c>
      <c r="H212" s="1" t="s">
        <v>7</v>
      </c>
      <c r="I212" s="1" t="s">
        <v>505</v>
      </c>
      <c r="J212" s="1" t="s">
        <v>463</v>
      </c>
      <c r="K212" s="1" t="s">
        <v>550</v>
      </c>
      <c r="N212" s="2" t="s">
        <v>697</v>
      </c>
    </row>
    <row r="213" spans="1:14" hidden="1" x14ac:dyDescent="0.4">
      <c r="A213" s="1" t="s">
        <v>752</v>
      </c>
      <c r="B213" s="1" t="s">
        <v>658</v>
      </c>
      <c r="C213" s="1" t="s">
        <v>698</v>
      </c>
      <c r="D213" s="1" t="s">
        <v>743</v>
      </c>
      <c r="E213" s="1" t="s">
        <v>554</v>
      </c>
      <c r="F213" s="1" t="s">
        <v>6</v>
      </c>
      <c r="G213" s="1" t="s">
        <v>6</v>
      </c>
      <c r="H213" s="1" t="s">
        <v>7</v>
      </c>
      <c r="I213" s="1" t="s">
        <v>505</v>
      </c>
      <c r="J213" s="1" t="s">
        <v>463</v>
      </c>
      <c r="K213" s="1" t="s">
        <v>552</v>
      </c>
      <c r="N213" s="2" t="s">
        <v>697</v>
      </c>
    </row>
    <row r="214" spans="1:14" hidden="1" x14ac:dyDescent="0.4">
      <c r="A214" s="1" t="s">
        <v>753</v>
      </c>
      <c r="B214" s="1" t="s">
        <v>658</v>
      </c>
      <c r="C214" s="1" t="s">
        <v>698</v>
      </c>
      <c r="D214" s="1" t="s">
        <v>744</v>
      </c>
      <c r="E214" s="1" t="s">
        <v>554</v>
      </c>
      <c r="F214" s="1" t="s">
        <v>6</v>
      </c>
      <c r="G214" s="1" t="s">
        <v>6</v>
      </c>
      <c r="H214" s="1" t="s">
        <v>7</v>
      </c>
      <c r="I214" s="1" t="s">
        <v>505</v>
      </c>
      <c r="J214" s="1" t="s">
        <v>463</v>
      </c>
      <c r="K214" s="1" t="s">
        <v>552</v>
      </c>
      <c r="N214" s="2" t="s">
        <v>697</v>
      </c>
    </row>
    <row r="215" spans="1:14" hidden="1" x14ac:dyDescent="0.4">
      <c r="A215" s="1" t="s">
        <v>754</v>
      </c>
      <c r="B215" s="1" t="s">
        <v>661</v>
      </c>
      <c r="C215" s="1" t="s">
        <v>698</v>
      </c>
      <c r="D215" s="1" t="s">
        <v>745</v>
      </c>
      <c r="E215" s="1" t="s">
        <v>554</v>
      </c>
      <c r="F215" s="1" t="s">
        <v>6</v>
      </c>
      <c r="G215" s="1" t="s">
        <v>6</v>
      </c>
      <c r="H215" s="1" t="s">
        <v>7</v>
      </c>
      <c r="I215" s="1" t="s">
        <v>505</v>
      </c>
      <c r="J215" s="1" t="s">
        <v>463</v>
      </c>
      <c r="K215" s="1" t="s">
        <v>550</v>
      </c>
      <c r="N215" s="2" t="s">
        <v>697</v>
      </c>
    </row>
    <row r="216" spans="1:14" hidden="1" x14ac:dyDescent="0.4">
      <c r="A216" s="1" t="s">
        <v>766</v>
      </c>
      <c r="B216" s="1" t="s">
        <v>658</v>
      </c>
      <c r="C216" s="1" t="s">
        <v>698</v>
      </c>
      <c r="D216" s="1" t="s">
        <v>755</v>
      </c>
      <c r="E216" s="1" t="s">
        <v>565</v>
      </c>
      <c r="F216" s="1" t="s">
        <v>6</v>
      </c>
      <c r="G216" s="1" t="s">
        <v>6</v>
      </c>
      <c r="H216" s="1" t="s">
        <v>7</v>
      </c>
      <c r="I216" s="1" t="s">
        <v>473</v>
      </c>
      <c r="J216" s="1" t="s">
        <v>463</v>
      </c>
      <c r="K216" s="1" t="s">
        <v>552</v>
      </c>
      <c r="N216" s="2" t="s">
        <v>697</v>
      </c>
    </row>
    <row r="217" spans="1:14" hidden="1" x14ac:dyDescent="0.4">
      <c r="A217" s="1" t="s">
        <v>767</v>
      </c>
      <c r="B217" s="1" t="s">
        <v>658</v>
      </c>
      <c r="C217" s="1" t="s">
        <v>698</v>
      </c>
      <c r="D217" s="1" t="s">
        <v>756</v>
      </c>
      <c r="E217" s="1" t="s">
        <v>565</v>
      </c>
      <c r="F217" s="1" t="s">
        <v>6</v>
      </c>
      <c r="G217" s="1" t="s">
        <v>6</v>
      </c>
      <c r="H217" s="1" t="s">
        <v>7</v>
      </c>
      <c r="I217" s="1" t="s">
        <v>473</v>
      </c>
      <c r="J217" s="1" t="s">
        <v>463</v>
      </c>
      <c r="K217" s="1" t="s">
        <v>552</v>
      </c>
      <c r="N217" s="2" t="s">
        <v>697</v>
      </c>
    </row>
    <row r="218" spans="1:14" hidden="1" x14ac:dyDescent="0.4">
      <c r="A218" s="1" t="s">
        <v>768</v>
      </c>
      <c r="B218" s="1" t="s">
        <v>661</v>
      </c>
      <c r="C218" s="1" t="s">
        <v>698</v>
      </c>
      <c r="D218" s="1" t="s">
        <v>757</v>
      </c>
      <c r="E218" s="1" t="s">
        <v>565</v>
      </c>
      <c r="F218" s="1" t="s">
        <v>6</v>
      </c>
      <c r="G218" s="1" t="s">
        <v>6</v>
      </c>
      <c r="H218" s="1" t="s">
        <v>7</v>
      </c>
      <c r="I218" s="1" t="s">
        <v>473</v>
      </c>
      <c r="J218" s="1" t="s">
        <v>463</v>
      </c>
      <c r="K218" s="1" t="s">
        <v>552</v>
      </c>
      <c r="N218" s="2" t="s">
        <v>697</v>
      </c>
    </row>
    <row r="219" spans="1:14" hidden="1" x14ac:dyDescent="0.4">
      <c r="A219" s="1" t="s">
        <v>769</v>
      </c>
      <c r="B219" s="1" t="s">
        <v>658</v>
      </c>
      <c r="C219" s="1" t="s">
        <v>698</v>
      </c>
      <c r="D219" s="1" t="s">
        <v>758</v>
      </c>
      <c r="E219" s="1" t="s">
        <v>565</v>
      </c>
      <c r="F219" s="1" t="s">
        <v>6</v>
      </c>
      <c r="G219" s="1" t="s">
        <v>6</v>
      </c>
      <c r="H219" s="1" t="s">
        <v>7</v>
      </c>
      <c r="I219" s="1" t="s">
        <v>473</v>
      </c>
      <c r="J219" s="1" t="s">
        <v>463</v>
      </c>
      <c r="K219" s="1" t="s">
        <v>552</v>
      </c>
      <c r="N219" s="2" t="s">
        <v>697</v>
      </c>
    </row>
    <row r="220" spans="1:14" hidden="1" x14ac:dyDescent="0.4">
      <c r="A220" s="1" t="s">
        <v>770</v>
      </c>
      <c r="B220" s="1" t="s">
        <v>661</v>
      </c>
      <c r="C220" s="1" t="s">
        <v>698</v>
      </c>
      <c r="D220" s="1" t="s">
        <v>759</v>
      </c>
      <c r="E220" s="1" t="s">
        <v>565</v>
      </c>
      <c r="F220" s="1" t="s">
        <v>6</v>
      </c>
      <c r="G220" s="1" t="s">
        <v>6</v>
      </c>
      <c r="H220" s="1" t="s">
        <v>7</v>
      </c>
      <c r="I220" s="1" t="s">
        <v>473</v>
      </c>
      <c r="J220" s="1" t="s">
        <v>463</v>
      </c>
      <c r="K220" s="1" t="s">
        <v>550</v>
      </c>
      <c r="N220" s="2" t="s">
        <v>697</v>
      </c>
    </row>
    <row r="221" spans="1:14" hidden="1" x14ac:dyDescent="0.4">
      <c r="A221" s="1" t="s">
        <v>771</v>
      </c>
      <c r="B221" s="1" t="s">
        <v>661</v>
      </c>
      <c r="C221" s="1" t="s">
        <v>698</v>
      </c>
      <c r="D221" s="1" t="s">
        <v>760</v>
      </c>
      <c r="E221" s="1" t="s">
        <v>565</v>
      </c>
      <c r="F221" s="1" t="s">
        <v>6</v>
      </c>
      <c r="G221" s="1" t="s">
        <v>6</v>
      </c>
      <c r="H221" s="1" t="s">
        <v>7</v>
      </c>
      <c r="I221" s="1" t="s">
        <v>473</v>
      </c>
      <c r="J221" s="1" t="s">
        <v>463</v>
      </c>
      <c r="K221" s="1" t="s">
        <v>550</v>
      </c>
      <c r="N221" s="2" t="s">
        <v>697</v>
      </c>
    </row>
    <row r="222" spans="1:14" hidden="1" x14ac:dyDescent="0.4">
      <c r="A222" s="1" t="s">
        <v>772</v>
      </c>
      <c r="B222" s="1" t="s">
        <v>661</v>
      </c>
      <c r="C222" s="1" t="s">
        <v>698</v>
      </c>
      <c r="D222" s="1" t="s">
        <v>761</v>
      </c>
      <c r="E222" s="1" t="s">
        <v>565</v>
      </c>
      <c r="F222" s="1" t="s">
        <v>6</v>
      </c>
      <c r="G222" s="1" t="s">
        <v>6</v>
      </c>
      <c r="H222" s="1" t="s">
        <v>7</v>
      </c>
      <c r="I222" s="1" t="s">
        <v>473</v>
      </c>
      <c r="J222" s="1" t="s">
        <v>463</v>
      </c>
      <c r="K222" s="1" t="s">
        <v>552</v>
      </c>
      <c r="N222" s="2" t="s">
        <v>697</v>
      </c>
    </row>
    <row r="223" spans="1:14" hidden="1" x14ac:dyDescent="0.4">
      <c r="A223" s="1" t="s">
        <v>773</v>
      </c>
      <c r="B223" s="1" t="s">
        <v>658</v>
      </c>
      <c r="C223" s="1" t="s">
        <v>698</v>
      </c>
      <c r="D223" s="1" t="s">
        <v>762</v>
      </c>
      <c r="E223" s="1" t="s">
        <v>554</v>
      </c>
      <c r="F223" s="1" t="s">
        <v>6</v>
      </c>
      <c r="G223" s="1" t="s">
        <v>6</v>
      </c>
      <c r="H223" s="1" t="s">
        <v>7</v>
      </c>
      <c r="I223" s="1" t="s">
        <v>473</v>
      </c>
      <c r="J223" s="1" t="s">
        <v>463</v>
      </c>
      <c r="K223" s="1" t="s">
        <v>550</v>
      </c>
      <c r="N223" s="2" t="s">
        <v>697</v>
      </c>
    </row>
    <row r="224" spans="1:14" hidden="1" x14ac:dyDescent="0.4">
      <c r="A224" s="1" t="s">
        <v>774</v>
      </c>
      <c r="B224" s="1" t="s">
        <v>658</v>
      </c>
      <c r="C224" s="1" t="s">
        <v>698</v>
      </c>
      <c r="D224" s="6" t="s">
        <v>763</v>
      </c>
      <c r="E224" s="1" t="s">
        <v>554</v>
      </c>
      <c r="F224" s="1" t="s">
        <v>6</v>
      </c>
      <c r="G224" s="1" t="s">
        <v>6</v>
      </c>
      <c r="H224" s="1" t="s">
        <v>7</v>
      </c>
      <c r="I224" s="1" t="s">
        <v>473</v>
      </c>
      <c r="J224" s="1" t="s">
        <v>463</v>
      </c>
      <c r="K224" s="1" t="s">
        <v>550</v>
      </c>
      <c r="N224" s="2" t="s">
        <v>697</v>
      </c>
    </row>
    <row r="225" spans="1:14" hidden="1" x14ac:dyDescent="0.4">
      <c r="A225" s="1" t="s">
        <v>775</v>
      </c>
      <c r="B225" s="1" t="s">
        <v>658</v>
      </c>
      <c r="C225" s="1" t="s">
        <v>698</v>
      </c>
      <c r="D225" s="1" t="s">
        <v>764</v>
      </c>
      <c r="E225" s="1" t="s">
        <v>554</v>
      </c>
      <c r="F225" s="1" t="s">
        <v>6</v>
      </c>
      <c r="G225" s="1" t="s">
        <v>6</v>
      </c>
      <c r="H225" s="1" t="s">
        <v>7</v>
      </c>
      <c r="I225" s="1" t="s">
        <v>473</v>
      </c>
      <c r="J225" s="1" t="s">
        <v>463</v>
      </c>
      <c r="K225" s="1" t="s">
        <v>552</v>
      </c>
      <c r="N225" s="2" t="s">
        <v>697</v>
      </c>
    </row>
    <row r="226" spans="1:14" hidden="1" x14ac:dyDescent="0.4">
      <c r="A226" s="1" t="s">
        <v>776</v>
      </c>
      <c r="B226" s="1" t="s">
        <v>658</v>
      </c>
      <c r="C226" s="1" t="s">
        <v>698</v>
      </c>
      <c r="D226" s="1" t="s">
        <v>765</v>
      </c>
      <c r="E226" s="1" t="s">
        <v>554</v>
      </c>
      <c r="F226" s="1" t="s">
        <v>6</v>
      </c>
      <c r="G226" s="1" t="s">
        <v>6</v>
      </c>
      <c r="H226" s="1" t="s">
        <v>7</v>
      </c>
      <c r="I226" s="1" t="s">
        <v>473</v>
      </c>
      <c r="J226" s="1" t="s">
        <v>463</v>
      </c>
      <c r="K226" s="1" t="s">
        <v>552</v>
      </c>
      <c r="N226" s="2" t="s">
        <v>697</v>
      </c>
    </row>
    <row r="227" spans="1:14" hidden="1" x14ac:dyDescent="0.4">
      <c r="A227" s="1" t="s">
        <v>787</v>
      </c>
      <c r="B227" s="1" t="s">
        <v>661</v>
      </c>
      <c r="C227" s="1" t="s">
        <v>699</v>
      </c>
      <c r="D227" s="1" t="s">
        <v>777</v>
      </c>
      <c r="E227" s="1" t="s">
        <v>565</v>
      </c>
      <c r="G227" s="1" t="s">
        <v>6</v>
      </c>
      <c r="H227" s="1" t="s">
        <v>7</v>
      </c>
      <c r="I227" s="1" t="s">
        <v>475</v>
      </c>
      <c r="J227" s="1" t="s">
        <v>463</v>
      </c>
      <c r="K227" s="1" t="s">
        <v>552</v>
      </c>
      <c r="N227" s="2" t="s">
        <v>697</v>
      </c>
    </row>
    <row r="228" spans="1:14" hidden="1" x14ac:dyDescent="0.4">
      <c r="A228" s="1" t="s">
        <v>788</v>
      </c>
      <c r="B228" s="1" t="s">
        <v>661</v>
      </c>
      <c r="C228" s="1" t="s">
        <v>699</v>
      </c>
      <c r="D228" s="1" t="s">
        <v>778</v>
      </c>
      <c r="E228" s="1" t="s">
        <v>554</v>
      </c>
      <c r="G228" s="1" t="s">
        <v>6</v>
      </c>
      <c r="H228" s="1" t="s">
        <v>7</v>
      </c>
      <c r="I228" s="1" t="s">
        <v>475</v>
      </c>
      <c r="J228" s="1" t="s">
        <v>467</v>
      </c>
      <c r="K228" s="1" t="s">
        <v>552</v>
      </c>
      <c r="N228" s="2" t="s">
        <v>697</v>
      </c>
    </row>
    <row r="229" spans="1:14" hidden="1" x14ac:dyDescent="0.4">
      <c r="A229" s="1" t="s">
        <v>789</v>
      </c>
      <c r="B229" s="1" t="s">
        <v>658</v>
      </c>
      <c r="C229" s="1" t="s">
        <v>699</v>
      </c>
      <c r="D229" s="1" t="s">
        <v>779</v>
      </c>
      <c r="E229" s="1" t="s">
        <v>554</v>
      </c>
      <c r="G229" s="1" t="s">
        <v>6</v>
      </c>
      <c r="H229" s="1" t="s">
        <v>7</v>
      </c>
      <c r="I229" s="1" t="s">
        <v>475</v>
      </c>
      <c r="J229" s="1" t="s">
        <v>467</v>
      </c>
      <c r="K229" s="1" t="s">
        <v>552</v>
      </c>
      <c r="M229" s="2" t="s">
        <v>121</v>
      </c>
      <c r="N229" s="2" t="s">
        <v>697</v>
      </c>
    </row>
    <row r="230" spans="1:14" hidden="1" x14ac:dyDescent="0.4">
      <c r="A230" s="1" t="s">
        <v>790</v>
      </c>
      <c r="B230" s="1" t="s">
        <v>652</v>
      </c>
      <c r="C230" s="1" t="s">
        <v>699</v>
      </c>
      <c r="D230" s="1" t="s">
        <v>780</v>
      </c>
      <c r="E230" s="1" t="s">
        <v>562</v>
      </c>
      <c r="G230" s="1" t="s">
        <v>6</v>
      </c>
      <c r="H230" s="1" t="s">
        <v>7</v>
      </c>
      <c r="I230" s="1" t="s">
        <v>475</v>
      </c>
      <c r="J230" s="1" t="s">
        <v>489</v>
      </c>
      <c r="K230" s="1" t="s">
        <v>550</v>
      </c>
      <c r="N230" s="2" t="s">
        <v>697</v>
      </c>
    </row>
    <row r="231" spans="1:14" hidden="1" x14ac:dyDescent="0.4">
      <c r="A231" s="1" t="s">
        <v>791</v>
      </c>
      <c r="B231" s="1" t="s">
        <v>658</v>
      </c>
      <c r="C231" s="1" t="s">
        <v>699</v>
      </c>
      <c r="D231" s="1" t="s">
        <v>781</v>
      </c>
      <c r="E231" s="1" t="s">
        <v>798</v>
      </c>
      <c r="G231" s="1" t="s">
        <v>6</v>
      </c>
      <c r="H231" s="1" t="s">
        <v>7</v>
      </c>
      <c r="I231" s="1" t="s">
        <v>475</v>
      </c>
      <c r="J231" s="1" t="s">
        <v>467</v>
      </c>
      <c r="K231" s="1" t="s">
        <v>552</v>
      </c>
      <c r="N231" s="2" t="s">
        <v>697</v>
      </c>
    </row>
    <row r="232" spans="1:14" hidden="1" x14ac:dyDescent="0.4">
      <c r="A232" s="1" t="s">
        <v>792</v>
      </c>
      <c r="B232" s="1" t="s">
        <v>658</v>
      </c>
      <c r="C232" s="1" t="s">
        <v>698</v>
      </c>
      <c r="D232" s="1" t="s">
        <v>782</v>
      </c>
      <c r="E232" s="1" t="s">
        <v>554</v>
      </c>
      <c r="G232" s="1" t="s">
        <v>6</v>
      </c>
      <c r="H232" s="1" t="s">
        <v>7</v>
      </c>
      <c r="I232" s="1" t="s">
        <v>475</v>
      </c>
      <c r="J232" s="1" t="s">
        <v>467</v>
      </c>
      <c r="K232" s="1" t="s">
        <v>552</v>
      </c>
      <c r="N232" s="2" t="s">
        <v>697</v>
      </c>
    </row>
    <row r="233" spans="1:14" hidden="1" x14ac:dyDescent="0.4">
      <c r="A233" s="9" t="s">
        <v>793</v>
      </c>
      <c r="B233" s="1" t="s">
        <v>661</v>
      </c>
      <c r="C233" s="1" t="s">
        <v>699</v>
      </c>
      <c r="D233" s="1" t="s">
        <v>783</v>
      </c>
      <c r="E233" s="1" t="s">
        <v>554</v>
      </c>
      <c r="G233" s="1" t="s">
        <v>6</v>
      </c>
      <c r="H233" s="1" t="s">
        <v>7</v>
      </c>
      <c r="I233" s="1" t="s">
        <v>475</v>
      </c>
      <c r="J233" s="1" t="s">
        <v>467</v>
      </c>
      <c r="K233" s="1" t="s">
        <v>552</v>
      </c>
      <c r="M233" s="2" t="s">
        <v>121</v>
      </c>
      <c r="N233" s="2" t="s">
        <v>697</v>
      </c>
    </row>
    <row r="234" spans="1:14" hidden="1" x14ac:dyDescent="0.4">
      <c r="A234" s="1" t="s">
        <v>794</v>
      </c>
      <c r="B234" s="1" t="s">
        <v>658</v>
      </c>
      <c r="C234" s="1" t="s">
        <v>699</v>
      </c>
      <c r="D234" s="1" t="s">
        <v>784</v>
      </c>
      <c r="E234" s="1" t="s">
        <v>798</v>
      </c>
      <c r="G234" s="1" t="s">
        <v>6</v>
      </c>
      <c r="H234" s="1" t="s">
        <v>7</v>
      </c>
      <c r="I234" s="1" t="s">
        <v>475</v>
      </c>
      <c r="J234" s="1" t="s">
        <v>467</v>
      </c>
      <c r="K234" s="1" t="s">
        <v>552</v>
      </c>
      <c r="M234" s="2" t="s">
        <v>121</v>
      </c>
      <c r="N234" s="2" t="s">
        <v>697</v>
      </c>
    </row>
    <row r="235" spans="1:14" hidden="1" x14ac:dyDescent="0.4">
      <c r="A235" s="1" t="s">
        <v>795</v>
      </c>
      <c r="B235" s="1" t="s">
        <v>661</v>
      </c>
      <c r="C235" s="1" t="s">
        <v>699</v>
      </c>
      <c r="D235" s="1" t="s">
        <v>785</v>
      </c>
      <c r="E235" s="1" t="s">
        <v>554</v>
      </c>
      <c r="G235" s="1" t="s">
        <v>6</v>
      </c>
      <c r="H235" s="1" t="s">
        <v>7</v>
      </c>
      <c r="I235" s="1" t="s">
        <v>475</v>
      </c>
      <c r="J235" s="1" t="s">
        <v>467</v>
      </c>
      <c r="K235" s="1" t="s">
        <v>552</v>
      </c>
      <c r="N235" s="2" t="s">
        <v>697</v>
      </c>
    </row>
    <row r="236" spans="1:14" hidden="1" x14ac:dyDescent="0.4">
      <c r="A236" s="9" t="s">
        <v>796</v>
      </c>
      <c r="B236" s="1" t="s">
        <v>658</v>
      </c>
      <c r="C236" s="1" t="s">
        <v>699</v>
      </c>
      <c r="D236" s="1" t="s">
        <v>786</v>
      </c>
      <c r="E236" s="1" t="s">
        <v>554</v>
      </c>
      <c r="G236" s="1" t="s">
        <v>6</v>
      </c>
      <c r="H236" s="1" t="s">
        <v>7</v>
      </c>
      <c r="I236" s="1" t="s">
        <v>475</v>
      </c>
      <c r="J236" s="1" t="s">
        <v>467</v>
      </c>
      <c r="K236" s="1" t="s">
        <v>550</v>
      </c>
      <c r="N236" s="2" t="s">
        <v>697</v>
      </c>
    </row>
    <row r="237" spans="1:14" hidden="1" x14ac:dyDescent="0.4">
      <c r="A237" s="1" t="s">
        <v>797</v>
      </c>
      <c r="B237" s="1" t="s">
        <v>658</v>
      </c>
      <c r="C237" s="1" t="s">
        <v>700</v>
      </c>
      <c r="D237" s="2" t="s">
        <v>800</v>
      </c>
      <c r="E237" s="1" t="s">
        <v>554</v>
      </c>
      <c r="G237" s="1" t="s">
        <v>6</v>
      </c>
      <c r="H237" s="1" t="s">
        <v>7</v>
      </c>
      <c r="I237" s="1" t="s">
        <v>488</v>
      </c>
      <c r="J237" s="1" t="s">
        <v>467</v>
      </c>
      <c r="K237" s="1" t="s">
        <v>552</v>
      </c>
      <c r="M237" s="2" t="s">
        <v>121</v>
      </c>
      <c r="N237" s="2" t="s">
        <v>697</v>
      </c>
    </row>
    <row r="238" spans="1:14" hidden="1" x14ac:dyDescent="0.4">
      <c r="A238" s="1" t="s">
        <v>806</v>
      </c>
      <c r="B238" s="1" t="s">
        <v>661</v>
      </c>
      <c r="C238" s="1" t="s">
        <v>699</v>
      </c>
      <c r="D238" s="1" t="s">
        <v>801</v>
      </c>
      <c r="E238" s="1" t="s">
        <v>554</v>
      </c>
      <c r="G238" s="1" t="s">
        <v>6</v>
      </c>
      <c r="H238" s="1" t="s">
        <v>7</v>
      </c>
      <c r="I238" s="1" t="s">
        <v>488</v>
      </c>
      <c r="J238" s="1" t="s">
        <v>467</v>
      </c>
      <c r="K238" s="1" t="s">
        <v>552</v>
      </c>
      <c r="M238" s="2" t="s">
        <v>121</v>
      </c>
      <c r="N238" s="2" t="s">
        <v>697</v>
      </c>
    </row>
    <row r="239" spans="1:14" hidden="1" x14ac:dyDescent="0.4">
      <c r="A239" s="1" t="s">
        <v>807</v>
      </c>
      <c r="B239" s="1" t="s">
        <v>658</v>
      </c>
      <c r="C239" s="1" t="s">
        <v>699</v>
      </c>
      <c r="D239" s="1" t="s">
        <v>802</v>
      </c>
      <c r="E239" s="1" t="s">
        <v>554</v>
      </c>
      <c r="G239" s="1" t="s">
        <v>6</v>
      </c>
      <c r="H239" s="1" t="s">
        <v>7</v>
      </c>
      <c r="I239" s="1" t="s">
        <v>488</v>
      </c>
      <c r="J239" s="1" t="s">
        <v>463</v>
      </c>
      <c r="K239" s="1" t="s">
        <v>550</v>
      </c>
      <c r="M239" s="2" t="s">
        <v>120</v>
      </c>
      <c r="N239" s="2" t="s">
        <v>697</v>
      </c>
    </row>
    <row r="240" spans="1:14" hidden="1" x14ac:dyDescent="0.4">
      <c r="A240" s="1" t="s">
        <v>808</v>
      </c>
      <c r="B240" s="1" t="s">
        <v>658</v>
      </c>
      <c r="C240" s="1" t="s">
        <v>699</v>
      </c>
      <c r="D240" s="6" t="s">
        <v>803</v>
      </c>
      <c r="E240" s="1" t="s">
        <v>554</v>
      </c>
      <c r="G240" s="1" t="s">
        <v>6</v>
      </c>
      <c r="H240" s="1" t="s">
        <v>7</v>
      </c>
      <c r="I240" s="1" t="s">
        <v>488</v>
      </c>
      <c r="J240" s="1" t="s">
        <v>467</v>
      </c>
      <c r="K240" s="1" t="s">
        <v>552</v>
      </c>
      <c r="N240" s="2" t="s">
        <v>697</v>
      </c>
    </row>
    <row r="241" spans="1:14" hidden="1" x14ac:dyDescent="0.4">
      <c r="A241" s="1" t="s">
        <v>809</v>
      </c>
      <c r="B241" s="1" t="s">
        <v>661</v>
      </c>
      <c r="C241" s="1" t="s">
        <v>700</v>
      </c>
      <c r="D241" s="1" t="s">
        <v>804</v>
      </c>
      <c r="E241" s="1" t="s">
        <v>554</v>
      </c>
      <c r="G241" s="1" t="s">
        <v>6</v>
      </c>
      <c r="H241" s="1" t="s">
        <v>7</v>
      </c>
      <c r="I241" s="1" t="s">
        <v>488</v>
      </c>
      <c r="J241" s="1" t="s">
        <v>467</v>
      </c>
      <c r="K241" s="1" t="s">
        <v>550</v>
      </c>
      <c r="N241" s="2" t="s">
        <v>697</v>
      </c>
    </row>
    <row r="242" spans="1:14" hidden="1" x14ac:dyDescent="0.4">
      <c r="A242" s="1" t="s">
        <v>810</v>
      </c>
      <c r="B242" s="1" t="s">
        <v>658</v>
      </c>
      <c r="C242" s="1" t="s">
        <v>700</v>
      </c>
      <c r="D242" s="1" t="s">
        <v>805</v>
      </c>
      <c r="E242" s="1" t="s">
        <v>554</v>
      </c>
      <c r="G242" s="1" t="s">
        <v>6</v>
      </c>
      <c r="H242" s="1" t="s">
        <v>7</v>
      </c>
      <c r="I242" s="1" t="s">
        <v>488</v>
      </c>
      <c r="J242" s="1" t="s">
        <v>467</v>
      </c>
      <c r="K242" s="1" t="s">
        <v>550</v>
      </c>
      <c r="N242" s="2" t="s">
        <v>697</v>
      </c>
    </row>
    <row r="243" spans="1:14" hidden="1" x14ac:dyDescent="0.4">
      <c r="A243" s="1" t="s">
        <v>817</v>
      </c>
      <c r="B243" s="1" t="s">
        <v>661</v>
      </c>
      <c r="C243" s="1" t="s">
        <v>700</v>
      </c>
      <c r="D243" s="1" t="s">
        <v>811</v>
      </c>
      <c r="E243" s="1" t="s">
        <v>565</v>
      </c>
      <c r="G243" s="1" t="s">
        <v>6</v>
      </c>
      <c r="H243" s="1" t="s">
        <v>7</v>
      </c>
      <c r="I243" s="1" t="s">
        <v>477</v>
      </c>
      <c r="J243" s="1" t="s">
        <v>467</v>
      </c>
      <c r="K243" s="1" t="s">
        <v>552</v>
      </c>
      <c r="N243" s="2" t="s">
        <v>697</v>
      </c>
    </row>
    <row r="244" spans="1:14" hidden="1" x14ac:dyDescent="0.4">
      <c r="A244" s="1" t="s">
        <v>818</v>
      </c>
      <c r="B244" s="1" t="s">
        <v>661</v>
      </c>
      <c r="C244" s="1" t="s">
        <v>700</v>
      </c>
      <c r="D244" s="1" t="s">
        <v>812</v>
      </c>
      <c r="E244" s="1" t="s">
        <v>565</v>
      </c>
      <c r="G244" s="1" t="s">
        <v>6</v>
      </c>
      <c r="H244" s="1" t="s">
        <v>7</v>
      </c>
      <c r="I244" s="1" t="s">
        <v>477</v>
      </c>
      <c r="J244" s="1" t="s">
        <v>467</v>
      </c>
      <c r="K244" s="1" t="s">
        <v>552</v>
      </c>
      <c r="N244" s="2" t="s">
        <v>697</v>
      </c>
    </row>
    <row r="245" spans="1:14" hidden="1" x14ac:dyDescent="0.4">
      <c r="A245" s="1" t="s">
        <v>819</v>
      </c>
      <c r="B245" s="1" t="s">
        <v>658</v>
      </c>
      <c r="C245" s="1" t="s">
        <v>700</v>
      </c>
      <c r="D245" s="1" t="s">
        <v>813</v>
      </c>
      <c r="E245" s="1" t="s">
        <v>554</v>
      </c>
      <c r="G245" s="1" t="s">
        <v>6</v>
      </c>
      <c r="H245" s="1" t="s">
        <v>7</v>
      </c>
      <c r="I245" s="1" t="s">
        <v>477</v>
      </c>
      <c r="J245" s="1" t="s">
        <v>467</v>
      </c>
      <c r="K245" s="1" t="s">
        <v>552</v>
      </c>
      <c r="N245" s="2" t="s">
        <v>697</v>
      </c>
    </row>
    <row r="246" spans="1:14" hidden="1" x14ac:dyDescent="0.4">
      <c r="A246" s="1" t="s">
        <v>820</v>
      </c>
      <c r="B246" s="1" t="s">
        <v>658</v>
      </c>
      <c r="C246" s="1" t="s">
        <v>698</v>
      </c>
      <c r="D246" s="1" t="s">
        <v>814</v>
      </c>
      <c r="E246" s="1" t="s">
        <v>554</v>
      </c>
      <c r="G246" s="1" t="s">
        <v>6</v>
      </c>
      <c r="H246" s="1" t="s">
        <v>7</v>
      </c>
      <c r="I246" s="1" t="s">
        <v>477</v>
      </c>
      <c r="J246" s="1" t="s">
        <v>463</v>
      </c>
      <c r="K246" s="1" t="s">
        <v>552</v>
      </c>
      <c r="N246" s="2" t="s">
        <v>697</v>
      </c>
    </row>
    <row r="247" spans="1:14" hidden="1" x14ac:dyDescent="0.4">
      <c r="A247" s="1" t="s">
        <v>821</v>
      </c>
      <c r="B247" s="1" t="s">
        <v>658</v>
      </c>
      <c r="C247" s="1" t="s">
        <v>698</v>
      </c>
      <c r="D247" s="1" t="s">
        <v>815</v>
      </c>
      <c r="E247" s="1" t="s">
        <v>554</v>
      </c>
      <c r="G247" s="1" t="s">
        <v>6</v>
      </c>
      <c r="H247" s="1" t="s">
        <v>7</v>
      </c>
      <c r="I247" s="1" t="s">
        <v>477</v>
      </c>
      <c r="J247" s="1" t="s">
        <v>463</v>
      </c>
      <c r="K247" s="1" t="s">
        <v>550</v>
      </c>
      <c r="N247" s="2" t="s">
        <v>697</v>
      </c>
    </row>
    <row r="248" spans="1:14" hidden="1" x14ac:dyDescent="0.4">
      <c r="A248" s="1" t="s">
        <v>822</v>
      </c>
      <c r="B248" s="1" t="s">
        <v>661</v>
      </c>
      <c r="C248" s="1" t="s">
        <v>700</v>
      </c>
      <c r="D248" s="1" t="s">
        <v>816</v>
      </c>
      <c r="E248" s="1" t="s">
        <v>565</v>
      </c>
      <c r="G248" s="1" t="s">
        <v>6</v>
      </c>
      <c r="H248" s="1" t="s">
        <v>6</v>
      </c>
      <c r="I248" s="1" t="s">
        <v>477</v>
      </c>
      <c r="J248" s="1" t="s">
        <v>467</v>
      </c>
      <c r="K248" s="1" t="s">
        <v>552</v>
      </c>
      <c r="N248" s="2" t="s">
        <v>697</v>
      </c>
    </row>
    <row r="249" spans="1:14" hidden="1" x14ac:dyDescent="0.4">
      <c r="A249" s="1" t="s">
        <v>829</v>
      </c>
      <c r="B249" s="1" t="s">
        <v>658</v>
      </c>
      <c r="C249" s="1" t="s">
        <v>698</v>
      </c>
      <c r="D249" s="1" t="s">
        <v>823</v>
      </c>
      <c r="E249" s="1" t="s">
        <v>562</v>
      </c>
      <c r="G249" s="1" t="s">
        <v>6</v>
      </c>
      <c r="H249" s="1" t="s">
        <v>7</v>
      </c>
      <c r="I249" s="1" t="s">
        <v>465</v>
      </c>
      <c r="J249" s="1" t="s">
        <v>540</v>
      </c>
      <c r="K249" s="1" t="s">
        <v>552</v>
      </c>
      <c r="N249" s="2" t="s">
        <v>697</v>
      </c>
    </row>
    <row r="250" spans="1:14" hidden="1" x14ac:dyDescent="0.4">
      <c r="A250" s="1" t="s">
        <v>830</v>
      </c>
      <c r="B250" s="1" t="s">
        <v>661</v>
      </c>
      <c r="C250" s="1" t="s">
        <v>700</v>
      </c>
      <c r="D250" s="1" t="s">
        <v>824</v>
      </c>
      <c r="E250" s="1" t="s">
        <v>554</v>
      </c>
      <c r="G250" s="1" t="s">
        <v>6</v>
      </c>
      <c r="H250" s="1" t="s">
        <v>7</v>
      </c>
      <c r="I250" s="1" t="s">
        <v>477</v>
      </c>
      <c r="J250" s="1" t="s">
        <v>489</v>
      </c>
      <c r="K250" s="1" t="s">
        <v>552</v>
      </c>
      <c r="M250" s="2" t="s">
        <v>121</v>
      </c>
      <c r="N250" s="2" t="s">
        <v>697</v>
      </c>
    </row>
    <row r="251" spans="1:14" hidden="1" x14ac:dyDescent="0.4">
      <c r="A251" s="1" t="s">
        <v>831</v>
      </c>
      <c r="B251" s="1" t="s">
        <v>661</v>
      </c>
      <c r="C251" s="1" t="s">
        <v>698</v>
      </c>
      <c r="D251" s="1" t="s">
        <v>825</v>
      </c>
      <c r="E251" s="1" t="s">
        <v>554</v>
      </c>
      <c r="G251" s="1" t="s">
        <v>6</v>
      </c>
      <c r="H251" s="1" t="s">
        <v>7</v>
      </c>
      <c r="I251" s="1" t="s">
        <v>505</v>
      </c>
      <c r="J251" s="1" t="s">
        <v>540</v>
      </c>
      <c r="K251" s="1" t="s">
        <v>548</v>
      </c>
      <c r="N251" s="2" t="s">
        <v>697</v>
      </c>
    </row>
    <row r="252" spans="1:14" hidden="1" x14ac:dyDescent="0.4">
      <c r="A252" s="1" t="s">
        <v>832</v>
      </c>
      <c r="B252" s="1" t="s">
        <v>661</v>
      </c>
      <c r="C252" s="1" t="s">
        <v>699</v>
      </c>
      <c r="D252" s="1" t="s">
        <v>826</v>
      </c>
      <c r="E252" s="1" t="s">
        <v>554</v>
      </c>
      <c r="G252" s="1" t="s">
        <v>6</v>
      </c>
      <c r="H252" s="1" t="s">
        <v>7</v>
      </c>
      <c r="I252" s="1" t="s">
        <v>475</v>
      </c>
      <c r="J252" s="1" t="s">
        <v>489</v>
      </c>
      <c r="K252" s="1" t="s">
        <v>552</v>
      </c>
      <c r="N252" s="2" t="s">
        <v>697</v>
      </c>
    </row>
    <row r="253" spans="1:14" hidden="1" x14ac:dyDescent="0.4">
      <c r="A253" s="1" t="s">
        <v>833</v>
      </c>
      <c r="B253" s="1" t="s">
        <v>658</v>
      </c>
      <c r="C253" s="1" t="s">
        <v>698</v>
      </c>
      <c r="D253" s="1" t="s">
        <v>827</v>
      </c>
      <c r="E253" s="1" t="s">
        <v>554</v>
      </c>
      <c r="G253" s="1" t="s">
        <v>6</v>
      </c>
      <c r="H253" s="1" t="s">
        <v>7</v>
      </c>
      <c r="I253" s="1" t="s">
        <v>473</v>
      </c>
      <c r="J253" s="1" t="s">
        <v>540</v>
      </c>
      <c r="K253" s="1" t="s">
        <v>548</v>
      </c>
      <c r="N253" s="2" t="s">
        <v>697</v>
      </c>
    </row>
    <row r="254" spans="1:14" hidden="1" x14ac:dyDescent="0.4">
      <c r="A254" s="1" t="s">
        <v>834</v>
      </c>
      <c r="B254" s="1" t="s">
        <v>721</v>
      </c>
      <c r="C254" s="1" t="s">
        <v>698</v>
      </c>
      <c r="D254" s="1" t="s">
        <v>828</v>
      </c>
      <c r="E254" s="1" t="s">
        <v>554</v>
      </c>
      <c r="G254" s="1" t="s">
        <v>6</v>
      </c>
      <c r="H254" s="1" t="s">
        <v>7</v>
      </c>
      <c r="I254" s="1" t="s">
        <v>596</v>
      </c>
      <c r="J254" s="1" t="s">
        <v>540</v>
      </c>
      <c r="K254" s="1" t="s">
        <v>548</v>
      </c>
      <c r="N254" s="2" t="s">
        <v>697</v>
      </c>
    </row>
    <row r="255" spans="1:14" hidden="1" x14ac:dyDescent="0.4">
      <c r="A255" s="1" t="s">
        <v>835</v>
      </c>
      <c r="B255" s="1" t="s">
        <v>658</v>
      </c>
      <c r="C255" s="1" t="s">
        <v>698</v>
      </c>
      <c r="D255" s="6" t="s">
        <v>836</v>
      </c>
      <c r="E255" s="1" t="s">
        <v>554</v>
      </c>
      <c r="G255" s="1" t="s">
        <v>6</v>
      </c>
      <c r="H255" s="1" t="s">
        <v>7</v>
      </c>
      <c r="I255" s="1" t="s">
        <v>505</v>
      </c>
      <c r="J255" s="1" t="s">
        <v>540</v>
      </c>
      <c r="K255" s="1" t="s">
        <v>548</v>
      </c>
      <c r="N255" s="2" t="s">
        <v>697</v>
      </c>
    </row>
    <row r="256" spans="1:14" hidden="1" x14ac:dyDescent="0.4">
      <c r="A256" s="1" t="s">
        <v>842</v>
      </c>
      <c r="B256" s="1" t="s">
        <v>661</v>
      </c>
      <c r="C256" s="1" t="s">
        <v>698</v>
      </c>
      <c r="D256" s="1" t="s">
        <v>837</v>
      </c>
      <c r="E256" s="1" t="s">
        <v>501</v>
      </c>
      <c r="G256" s="1" t="s">
        <v>6</v>
      </c>
      <c r="H256" s="1" t="s">
        <v>7</v>
      </c>
      <c r="I256" s="1" t="s">
        <v>488</v>
      </c>
      <c r="J256" s="1" t="s">
        <v>514</v>
      </c>
      <c r="K256" s="1" t="s">
        <v>548</v>
      </c>
      <c r="N256" s="2" t="s">
        <v>697</v>
      </c>
    </row>
    <row r="257" spans="1:14" hidden="1" x14ac:dyDescent="0.4">
      <c r="A257" s="1" t="s">
        <v>843</v>
      </c>
      <c r="B257" s="1" t="s">
        <v>658</v>
      </c>
      <c r="C257" s="1" t="s">
        <v>698</v>
      </c>
      <c r="D257" s="1" t="s">
        <v>838</v>
      </c>
      <c r="E257" s="1" t="s">
        <v>554</v>
      </c>
      <c r="G257" s="1" t="s">
        <v>6</v>
      </c>
      <c r="H257" s="1" t="s">
        <v>7</v>
      </c>
      <c r="I257" s="1" t="s">
        <v>477</v>
      </c>
      <c r="J257" s="1" t="s">
        <v>514</v>
      </c>
      <c r="K257" s="1" t="s">
        <v>552</v>
      </c>
      <c r="N257" s="2" t="s">
        <v>697</v>
      </c>
    </row>
    <row r="258" spans="1:14" hidden="1" x14ac:dyDescent="0.4">
      <c r="A258" s="1" t="s">
        <v>844</v>
      </c>
      <c r="B258" s="1" t="s">
        <v>658</v>
      </c>
      <c r="C258" s="1" t="s">
        <v>698</v>
      </c>
      <c r="D258" s="1" t="s">
        <v>839</v>
      </c>
      <c r="E258" s="1" t="s">
        <v>554</v>
      </c>
      <c r="G258" s="1" t="s">
        <v>6</v>
      </c>
      <c r="H258" s="1" t="s">
        <v>7</v>
      </c>
      <c r="I258" s="1" t="s">
        <v>473</v>
      </c>
      <c r="J258" s="1" t="s">
        <v>514</v>
      </c>
      <c r="K258" s="1" t="s">
        <v>552</v>
      </c>
      <c r="L258" s="1">
        <v>1</v>
      </c>
      <c r="N258" s="2" t="s">
        <v>697</v>
      </c>
    </row>
    <row r="259" spans="1:14" x14ac:dyDescent="0.4">
      <c r="A259" s="1" t="s">
        <v>845</v>
      </c>
      <c r="B259" s="1" t="s">
        <v>721</v>
      </c>
      <c r="C259" s="1" t="s">
        <v>698</v>
      </c>
      <c r="D259" s="1" t="s">
        <v>840</v>
      </c>
      <c r="E259" s="1" t="s">
        <v>554</v>
      </c>
      <c r="G259" s="1" t="s">
        <v>6</v>
      </c>
      <c r="H259" s="1" t="s">
        <v>7</v>
      </c>
      <c r="I259" s="1" t="s">
        <v>596</v>
      </c>
      <c r="J259" s="1" t="s">
        <v>514</v>
      </c>
      <c r="K259" s="1" t="s">
        <v>548</v>
      </c>
      <c r="N259" s="2" t="s">
        <v>697</v>
      </c>
    </row>
    <row r="260" spans="1:14" hidden="1" x14ac:dyDescent="0.4">
      <c r="A260" s="1" t="s">
        <v>846</v>
      </c>
      <c r="B260" s="1" t="s">
        <v>661</v>
      </c>
      <c r="C260" s="1" t="s">
        <v>698</v>
      </c>
      <c r="D260" s="1" t="s">
        <v>841</v>
      </c>
      <c r="E260" s="1" t="s">
        <v>501</v>
      </c>
      <c r="G260" s="1" t="s">
        <v>6</v>
      </c>
      <c r="H260" s="1" t="s">
        <v>7</v>
      </c>
      <c r="I260" s="1" t="s">
        <v>473</v>
      </c>
      <c r="J260" s="1" t="s">
        <v>514</v>
      </c>
      <c r="K260" s="1" t="s">
        <v>548</v>
      </c>
      <c r="N260" s="2" t="s">
        <v>697</v>
      </c>
    </row>
    <row r="261" spans="1:14" hidden="1" x14ac:dyDescent="0.4">
      <c r="A261" s="9" t="s">
        <v>876</v>
      </c>
      <c r="B261" s="1" t="s">
        <v>661</v>
      </c>
      <c r="C261" s="1" t="s">
        <v>698</v>
      </c>
      <c r="D261" s="1" t="s">
        <v>847</v>
      </c>
      <c r="E261" s="1" t="s">
        <v>501</v>
      </c>
      <c r="G261" s="1" t="s">
        <v>6</v>
      </c>
      <c r="H261" s="1" t="s">
        <v>7</v>
      </c>
      <c r="I261" s="1" t="s">
        <v>475</v>
      </c>
      <c r="J261" s="1" t="s">
        <v>514</v>
      </c>
      <c r="K261" s="1" t="s">
        <v>552</v>
      </c>
      <c r="N261" s="2" t="s">
        <v>697</v>
      </c>
    </row>
  </sheetData>
  <mergeCells count="1">
    <mergeCell ref="E1:H1"/>
  </mergeCells>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615221A0-F33D-4982-A2C3-03CB64C9C96A}">
          <x14:formula1>
            <xm:f>清單選項!$D$3:$D$12</xm:f>
          </x14:formula1>
          <xm:sqref>I4:I261</xm:sqref>
        </x14:dataValidation>
        <x14:dataValidation type="list" allowBlank="1" showInputMessage="1" showErrorMessage="1" xr:uid="{F389F8A0-3F09-4118-83F8-6C3C693744EA}">
          <x14:formula1>
            <xm:f>清單選項!$E$3:$E$20</xm:f>
          </x14:formula1>
          <xm:sqref>J4:J261</xm:sqref>
        </x14:dataValidation>
        <x14:dataValidation type="list" allowBlank="1" showInputMessage="1" showErrorMessage="1" xr:uid="{0F2395FA-CCB8-4FFE-B38E-3C60079BDA6C}">
          <x14:formula1>
            <xm:f>清單選項!$F$3:$F$5</xm:f>
          </x14:formula1>
          <xm:sqref>K3</xm:sqref>
        </x14:dataValidation>
        <x14:dataValidation type="list" allowBlank="1" showInputMessage="1" showErrorMessage="1" xr:uid="{AF4A0D9E-A52B-4EB8-9FC8-AE147463311F}">
          <x14:formula1>
            <xm:f>清單選項!$F$3:$F$6</xm:f>
          </x14:formula1>
          <xm:sqref>K4:K261</xm:sqref>
        </x14:dataValidation>
        <x14:dataValidation type="list" allowBlank="1" showInputMessage="1" showErrorMessage="1" xr:uid="{0F543B0C-595C-4143-9175-FAC173C2D428}">
          <x14:formula1>
            <xm:f>清單選項!$C$3:$C$8</xm:f>
          </x14:formula1>
          <xm:sqref>E3:E261</xm:sqref>
        </x14:dataValidation>
        <x14:dataValidation type="list" allowBlank="1" showInputMessage="1" showErrorMessage="1" xr:uid="{17990AAD-8E72-44F5-B8BE-816DB7D8FDF6}">
          <x14:formula1>
            <xm:f>清單選項!$B$3:$B$6</xm:f>
          </x14:formula1>
          <xm:sqref>C4:C261</xm:sqref>
        </x14:dataValidation>
        <x14:dataValidation type="list" allowBlank="1" showInputMessage="1" showErrorMessage="1" xr:uid="{8E734410-6859-4916-92B0-2ADF6F9C6AAF}">
          <x14:formula1>
            <xm:f>清單選項!$A$3:$A$11</xm:f>
          </x14:formula1>
          <xm:sqref>B4:B261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D18FD-706B-423D-A1C9-E7D4E7EB4348}">
  <dimension ref="A1:F210"/>
  <sheetViews>
    <sheetView topLeftCell="A195" workbookViewId="0">
      <selection activeCell="E206" sqref="E206"/>
    </sheetView>
  </sheetViews>
  <sheetFormatPr defaultRowHeight="15.5" x14ac:dyDescent="0.4"/>
  <cols>
    <col min="1" max="1" width="21.81640625" style="1" bestFit="1" customWidth="1"/>
    <col min="2" max="3" width="8.7265625" style="1"/>
    <col min="4" max="4" width="17.08984375" style="1" bestFit="1" customWidth="1"/>
    <col min="5" max="5" width="10.36328125" style="1" bestFit="1" customWidth="1"/>
    <col min="6" max="16384" width="8.7265625" style="1"/>
  </cols>
  <sheetData>
    <row r="1" spans="1:6" ht="17" x14ac:dyDescent="0.4">
      <c r="A1" s="19" t="s">
        <v>861</v>
      </c>
      <c r="B1" s="8" t="s">
        <v>262</v>
      </c>
      <c r="C1" s="8" t="s">
        <v>263</v>
      </c>
      <c r="D1" s="8" t="s">
        <v>264</v>
      </c>
      <c r="E1" s="8" t="s">
        <v>265</v>
      </c>
      <c r="F1" s="8" t="s">
        <v>266</v>
      </c>
    </row>
    <row r="2" spans="1:6" ht="17" x14ac:dyDescent="0.4">
      <c r="A2" s="24" t="str">
        <f>_xlfn.XLOOKUP(B2,表格1[ID],表格1[Dish])</f>
        <v>燕麥蒸肉餅</v>
      </c>
      <c r="B2" s="1" t="s">
        <v>129</v>
      </c>
      <c r="C2" s="1" t="s">
        <v>267</v>
      </c>
      <c r="D2" s="1" t="s">
        <v>1110</v>
      </c>
      <c r="E2" s="25">
        <v>4</v>
      </c>
      <c r="F2" s="1" t="s">
        <v>268</v>
      </c>
    </row>
    <row r="3" spans="1:6" ht="17" x14ac:dyDescent="0.4">
      <c r="A3" s="24" t="str">
        <f>_xlfn.XLOOKUP(B3,表格1[ID],表格1[Dish])</f>
        <v>燕麥蒸肉餅</v>
      </c>
      <c r="B3" s="1" t="s">
        <v>129</v>
      </c>
      <c r="C3" s="1" t="s">
        <v>267</v>
      </c>
      <c r="D3" s="1" t="s">
        <v>1111</v>
      </c>
      <c r="E3" s="25">
        <v>2</v>
      </c>
      <c r="F3" s="1" t="s">
        <v>269</v>
      </c>
    </row>
    <row r="4" spans="1:6" ht="17" x14ac:dyDescent="0.4">
      <c r="A4" s="24" t="str">
        <f>_xlfn.XLOOKUP(B4,表格1[ID],表格1[Dish])</f>
        <v>燕麥蒸肉餅</v>
      </c>
      <c r="B4" s="1" t="s">
        <v>129</v>
      </c>
      <c r="C4" s="1" t="s">
        <v>267</v>
      </c>
      <c r="D4" s="1" t="s">
        <v>1112</v>
      </c>
      <c r="E4" s="25">
        <v>120</v>
      </c>
      <c r="F4" s="1" t="s">
        <v>247</v>
      </c>
    </row>
    <row r="5" spans="1:6" ht="17" x14ac:dyDescent="0.4">
      <c r="A5" s="24" t="str">
        <f>_xlfn.XLOOKUP(B5,表格1[ID],表格1[Dish])</f>
        <v>燕麥蒸肉餅</v>
      </c>
      <c r="B5" s="1" t="s">
        <v>128</v>
      </c>
      <c r="C5" s="1" t="s">
        <v>270</v>
      </c>
      <c r="D5" s="1" t="s">
        <v>434</v>
      </c>
      <c r="E5" s="25">
        <v>0.5</v>
      </c>
      <c r="F5" s="1" t="s">
        <v>271</v>
      </c>
    </row>
    <row r="6" spans="1:6" ht="17" x14ac:dyDescent="0.4">
      <c r="A6" s="24" t="str">
        <f>_xlfn.XLOOKUP(B6,表格1[ID],表格1[Dish])</f>
        <v>燕麥蒸肉餅</v>
      </c>
      <c r="B6" s="1" t="s">
        <v>128</v>
      </c>
      <c r="C6" s="1" t="s">
        <v>270</v>
      </c>
      <c r="D6" s="1" t="s">
        <v>1113</v>
      </c>
      <c r="E6" s="25">
        <v>0.5</v>
      </c>
      <c r="F6" s="1" t="s">
        <v>271</v>
      </c>
    </row>
    <row r="7" spans="1:6" ht="17" x14ac:dyDescent="0.4">
      <c r="A7" s="24" t="str">
        <f>_xlfn.XLOOKUP(B7,表格1[ID],表格1[Dish])</f>
        <v>燕麥蒸肉餅</v>
      </c>
      <c r="B7" s="1" t="s">
        <v>128</v>
      </c>
      <c r="C7" s="1" t="s">
        <v>270</v>
      </c>
      <c r="D7" s="1" t="s">
        <v>1114</v>
      </c>
      <c r="E7" s="25">
        <v>0.5</v>
      </c>
      <c r="F7" s="1" t="s">
        <v>271</v>
      </c>
    </row>
    <row r="8" spans="1:6" ht="17" x14ac:dyDescent="0.4">
      <c r="A8" s="24" t="str">
        <f>_xlfn.XLOOKUP(B8,表格1[ID],表格1[Dish])</f>
        <v>燕麥蒸肉餅</v>
      </c>
      <c r="B8" s="1" t="s">
        <v>128</v>
      </c>
      <c r="C8" s="1" t="s">
        <v>270</v>
      </c>
      <c r="D8" s="1" t="s">
        <v>1136</v>
      </c>
      <c r="E8" s="25">
        <v>1</v>
      </c>
      <c r="F8" s="1" t="s">
        <v>271</v>
      </c>
    </row>
    <row r="9" spans="1:6" ht="17" x14ac:dyDescent="0.4">
      <c r="A9" s="24" t="str">
        <f>_xlfn.XLOOKUP(B9,表格1[ID],表格1[Dish])</f>
        <v>燕麥蒸肉餅</v>
      </c>
      <c r="B9" s="1" t="s">
        <v>128</v>
      </c>
      <c r="C9" s="1" t="s">
        <v>272</v>
      </c>
      <c r="D9" s="1" t="s">
        <v>1137</v>
      </c>
      <c r="E9" s="25" t="s">
        <v>1140</v>
      </c>
      <c r="F9" s="1" t="s">
        <v>239</v>
      </c>
    </row>
    <row r="10" spans="1:6" ht="17" x14ac:dyDescent="0.4">
      <c r="A10" s="24" t="str">
        <f>_xlfn.XLOOKUP(B10,表格1[ID],表格1[Dish])</f>
        <v>椰青木瓜果凍</v>
      </c>
      <c r="B10" s="1" t="s">
        <v>217</v>
      </c>
      <c r="C10" s="1" t="s">
        <v>267</v>
      </c>
      <c r="D10" s="1" t="s">
        <v>1138</v>
      </c>
      <c r="E10" s="25">
        <v>0.5</v>
      </c>
      <c r="F10" s="1" t="s">
        <v>274</v>
      </c>
    </row>
    <row r="11" spans="1:6" ht="17" x14ac:dyDescent="0.4">
      <c r="A11" s="24" t="str">
        <f>_xlfn.XLOOKUP(B11,表格1[ID],表格1[Dish])</f>
        <v>椰青木瓜果凍</v>
      </c>
      <c r="B11" s="1" t="s">
        <v>217</v>
      </c>
      <c r="C11" s="1" t="s">
        <v>267</v>
      </c>
      <c r="D11" s="1" t="s">
        <v>1139</v>
      </c>
      <c r="E11" s="25">
        <v>200</v>
      </c>
      <c r="F11" s="1" t="s">
        <v>247</v>
      </c>
    </row>
    <row r="12" spans="1:6" ht="17" x14ac:dyDescent="0.4">
      <c r="A12" s="24" t="str">
        <f>_xlfn.XLOOKUP(B12,表格1[ID],表格1[Dish])</f>
        <v>椰青木瓜果凍</v>
      </c>
      <c r="B12" s="1" t="s">
        <v>217</v>
      </c>
      <c r="C12" s="1" t="s">
        <v>267</v>
      </c>
      <c r="D12" s="1" t="s">
        <v>258</v>
      </c>
      <c r="E12" s="25">
        <v>250</v>
      </c>
      <c r="F12" s="1" t="s">
        <v>247</v>
      </c>
    </row>
    <row r="13" spans="1:6" ht="17" x14ac:dyDescent="0.4">
      <c r="A13" s="24" t="str">
        <f>_xlfn.XLOOKUP(B13,表格1[ID],表格1[Dish])</f>
        <v>椰青木瓜果凍</v>
      </c>
      <c r="B13" s="1" t="s">
        <v>217</v>
      </c>
      <c r="C13" s="1" t="s">
        <v>1145</v>
      </c>
      <c r="D13" s="1" t="s">
        <v>260</v>
      </c>
      <c r="E13" s="25">
        <v>5</v>
      </c>
      <c r="F13" s="1" t="s">
        <v>275</v>
      </c>
    </row>
    <row r="14" spans="1:6" ht="17" x14ac:dyDescent="0.4">
      <c r="A14" s="24" t="str">
        <f>_xlfn.XLOOKUP(B14,表格1[ID],表格1[Dish])</f>
        <v>椰青木瓜果凍</v>
      </c>
      <c r="B14" s="1" t="s">
        <v>217</v>
      </c>
      <c r="C14" s="1" t="s">
        <v>1146</v>
      </c>
      <c r="D14" s="1" t="s">
        <v>242</v>
      </c>
      <c r="E14" s="25">
        <v>30</v>
      </c>
      <c r="F14" s="1" t="s">
        <v>275</v>
      </c>
    </row>
    <row r="15" spans="1:6" ht="17" x14ac:dyDescent="0.4">
      <c r="A15" s="24" t="str">
        <f>_xlfn.XLOOKUP(B15,表格1[ID],表格1[Dish])</f>
        <v>紫薯布甸</v>
      </c>
      <c r="B15" s="1" t="s">
        <v>209</v>
      </c>
      <c r="C15" s="1" t="s">
        <v>1145</v>
      </c>
      <c r="D15" s="1" t="s">
        <v>279</v>
      </c>
      <c r="E15" s="25">
        <v>300</v>
      </c>
      <c r="F15" s="1" t="s">
        <v>275</v>
      </c>
    </row>
    <row r="16" spans="1:6" ht="17" x14ac:dyDescent="0.4">
      <c r="A16" s="24" t="str">
        <f>_xlfn.XLOOKUP(B16,表格1[ID],表格1[Dish])</f>
        <v>紫薯布甸</v>
      </c>
      <c r="B16" s="1" t="s">
        <v>209</v>
      </c>
      <c r="C16" s="1" t="s">
        <v>267</v>
      </c>
      <c r="D16" s="1" t="s">
        <v>281</v>
      </c>
      <c r="E16" s="25">
        <v>200</v>
      </c>
      <c r="F16" s="1" t="s">
        <v>247</v>
      </c>
    </row>
    <row r="17" spans="1:6" ht="17" x14ac:dyDescent="0.4">
      <c r="A17" s="24" t="str">
        <f>_xlfn.XLOOKUP(B17,表格1[ID],表格1[Dish])</f>
        <v>紫薯布甸</v>
      </c>
      <c r="B17" s="1" t="s">
        <v>209</v>
      </c>
      <c r="C17" s="1" t="s">
        <v>267</v>
      </c>
      <c r="D17" s="1" t="s">
        <v>283</v>
      </c>
      <c r="E17" s="25">
        <v>300</v>
      </c>
      <c r="F17" s="1" t="s">
        <v>247</v>
      </c>
    </row>
    <row r="18" spans="1:6" ht="17" x14ac:dyDescent="0.4">
      <c r="A18" s="24" t="str">
        <f>_xlfn.XLOOKUP(B18,表格1[ID],表格1[Dish])</f>
        <v>紫薯布甸</v>
      </c>
      <c r="B18" s="1" t="s">
        <v>209</v>
      </c>
      <c r="C18" s="1" t="s">
        <v>270</v>
      </c>
      <c r="D18" s="1" t="s">
        <v>242</v>
      </c>
      <c r="E18" s="25">
        <v>50</v>
      </c>
      <c r="F18" s="1" t="s">
        <v>275</v>
      </c>
    </row>
    <row r="19" spans="1:6" ht="17" x14ac:dyDescent="0.4">
      <c r="A19" s="24" t="str">
        <f>_xlfn.XLOOKUP(B19,表格1[ID],表格1[Dish])</f>
        <v>紫薯布甸</v>
      </c>
      <c r="B19" s="1" t="s">
        <v>209</v>
      </c>
      <c r="C19" s="1" t="s">
        <v>267</v>
      </c>
      <c r="D19" s="1" t="s">
        <v>285</v>
      </c>
      <c r="E19" s="25">
        <v>3</v>
      </c>
      <c r="F19" s="1" t="s">
        <v>381</v>
      </c>
    </row>
    <row r="20" spans="1:6" ht="17" x14ac:dyDescent="0.4">
      <c r="A20" s="1" t="str">
        <f>_xlfn.XLOOKUP(B20,表格1[ID],表格1[Dish])</f>
        <v>焗葡汁白菌豆腐飯</v>
      </c>
      <c r="B20" s="1" t="s">
        <v>208</v>
      </c>
      <c r="C20" s="1" t="s">
        <v>267</v>
      </c>
      <c r="D20" s="1" t="s">
        <v>290</v>
      </c>
      <c r="E20" s="25">
        <v>2</v>
      </c>
      <c r="F20" s="1" t="s">
        <v>382</v>
      </c>
    </row>
    <row r="21" spans="1:6" ht="17" x14ac:dyDescent="0.4">
      <c r="A21" s="1" t="str">
        <f>_xlfn.XLOOKUP(B21,表格1[ID],表格1[Dish])</f>
        <v>焗葡汁白菌豆腐飯</v>
      </c>
      <c r="B21" s="1" t="s">
        <v>208</v>
      </c>
      <c r="C21" s="1" t="s">
        <v>267</v>
      </c>
      <c r="D21" s="1" t="s">
        <v>292</v>
      </c>
      <c r="E21" s="25">
        <v>0.5</v>
      </c>
      <c r="F21" s="1" t="s">
        <v>383</v>
      </c>
    </row>
    <row r="22" spans="1:6" ht="17" x14ac:dyDescent="0.4">
      <c r="A22" s="1" t="str">
        <f>_xlfn.XLOOKUP(B22,表格1[ID],表格1[Dish])</f>
        <v>焗葡汁白菌豆腐飯</v>
      </c>
      <c r="B22" s="1" t="s">
        <v>208</v>
      </c>
      <c r="C22" s="1" t="s">
        <v>267</v>
      </c>
      <c r="D22" s="1" t="s">
        <v>294</v>
      </c>
      <c r="E22" s="25">
        <v>1</v>
      </c>
      <c r="F22" s="1" t="s">
        <v>384</v>
      </c>
    </row>
    <row r="23" spans="1:6" ht="17" x14ac:dyDescent="0.4">
      <c r="A23" s="1" t="str">
        <f>_xlfn.XLOOKUP(B23,表格1[ID],表格1[Dish])</f>
        <v>焗葡汁白菌豆腐飯</v>
      </c>
      <c r="B23" s="1" t="s">
        <v>208</v>
      </c>
      <c r="C23" s="1" t="s">
        <v>267</v>
      </c>
      <c r="D23" s="1" t="s">
        <v>296</v>
      </c>
      <c r="E23" s="25">
        <v>2</v>
      </c>
      <c r="F23" s="1" t="s">
        <v>384</v>
      </c>
    </row>
    <row r="24" spans="1:6" ht="17" x14ac:dyDescent="0.4">
      <c r="A24" s="1" t="str">
        <f>_xlfn.XLOOKUP(B24,表格1[ID],表格1[Dish])</f>
        <v>焗葡汁白菌豆腐飯</v>
      </c>
      <c r="B24" s="1" t="s">
        <v>208</v>
      </c>
      <c r="C24" s="1" t="s">
        <v>267</v>
      </c>
      <c r="D24" s="1" t="s">
        <v>298</v>
      </c>
      <c r="E24" s="25">
        <v>250</v>
      </c>
      <c r="F24" s="1" t="s">
        <v>247</v>
      </c>
    </row>
    <row r="25" spans="1:6" ht="17" x14ac:dyDescent="0.4">
      <c r="A25" s="1" t="str">
        <f>_xlfn.XLOOKUP(B25,表格1[ID],表格1[Dish])</f>
        <v>焗葡汁白菌豆腐飯</v>
      </c>
      <c r="B25" s="1" t="s">
        <v>208</v>
      </c>
      <c r="C25" s="1" t="s">
        <v>267</v>
      </c>
      <c r="D25" s="1" t="s">
        <v>283</v>
      </c>
      <c r="E25" s="25">
        <v>100</v>
      </c>
      <c r="F25" s="1" t="s">
        <v>247</v>
      </c>
    </row>
    <row r="26" spans="1:6" ht="17" x14ac:dyDescent="0.4">
      <c r="A26" s="1" t="str">
        <f>_xlfn.XLOOKUP(B26,表格1[ID],表格1[Dish])</f>
        <v>焗葡汁白菌豆腐飯</v>
      </c>
      <c r="B26" s="1" t="s">
        <v>208</v>
      </c>
      <c r="C26" s="1" t="s">
        <v>267</v>
      </c>
      <c r="D26" s="1" t="s">
        <v>256</v>
      </c>
      <c r="E26" s="25">
        <v>120</v>
      </c>
      <c r="F26" s="1" t="s">
        <v>247</v>
      </c>
    </row>
    <row r="27" spans="1:6" ht="17" x14ac:dyDescent="0.4">
      <c r="A27" s="1" t="str">
        <f>_xlfn.XLOOKUP(B27,表格1[ID],表格1[Dish])</f>
        <v>焗葡汁白菌豆腐飯</v>
      </c>
      <c r="B27" s="1" t="s">
        <v>208</v>
      </c>
      <c r="C27" s="1" t="s">
        <v>267</v>
      </c>
      <c r="D27" s="1" t="s">
        <v>306</v>
      </c>
      <c r="E27" s="25">
        <v>2</v>
      </c>
      <c r="F27" s="1" t="s">
        <v>381</v>
      </c>
    </row>
    <row r="28" spans="1:6" ht="17" x14ac:dyDescent="0.4">
      <c r="A28" s="1" t="str">
        <f>_xlfn.XLOOKUP(B28,表格1[ID],表格1[Dish])</f>
        <v>焗葡汁白菌豆腐飯</v>
      </c>
      <c r="B28" s="1" t="s">
        <v>208</v>
      </c>
      <c r="C28" s="1" t="s">
        <v>267</v>
      </c>
      <c r="D28" s="1" t="s">
        <v>300</v>
      </c>
      <c r="E28" s="25" t="s">
        <v>273</v>
      </c>
      <c r="F28" s="1" t="s">
        <v>239</v>
      </c>
    </row>
    <row r="29" spans="1:6" ht="17" x14ac:dyDescent="0.4">
      <c r="A29" s="1" t="str">
        <f>_xlfn.XLOOKUP(B29,表格1[ID],表格1[Dish])</f>
        <v>焗葡汁白菌豆腐飯</v>
      </c>
      <c r="B29" s="1" t="s">
        <v>208</v>
      </c>
      <c r="C29" s="1" t="s">
        <v>267</v>
      </c>
      <c r="D29" s="1" t="s">
        <v>302</v>
      </c>
      <c r="E29" s="25" t="s">
        <v>385</v>
      </c>
      <c r="F29" s="1" t="s">
        <v>239</v>
      </c>
    </row>
    <row r="30" spans="1:6" ht="17" x14ac:dyDescent="0.4">
      <c r="A30" s="1" t="str">
        <f>_xlfn.XLOOKUP(B30,表格1[ID],表格1[Dish])</f>
        <v>焗葡汁白菌豆腐飯</v>
      </c>
      <c r="B30" s="1" t="s">
        <v>208</v>
      </c>
      <c r="C30" s="1" t="s">
        <v>270</v>
      </c>
      <c r="D30" s="1" t="s">
        <v>242</v>
      </c>
      <c r="E30" s="25">
        <v>0.5</v>
      </c>
      <c r="F30" s="1" t="s">
        <v>384</v>
      </c>
    </row>
    <row r="31" spans="1:6" ht="17" x14ac:dyDescent="0.4">
      <c r="A31" s="1" t="str">
        <f>_xlfn.XLOOKUP(B31,表格1[ID],表格1[Dish])</f>
        <v>焗葡汁白菌豆腐飯</v>
      </c>
      <c r="B31" s="1" t="s">
        <v>208</v>
      </c>
      <c r="C31" s="1" t="s">
        <v>270</v>
      </c>
      <c r="D31" s="1" t="s">
        <v>240</v>
      </c>
      <c r="E31" s="25">
        <v>1.5</v>
      </c>
      <c r="F31" s="1" t="s">
        <v>384</v>
      </c>
    </row>
    <row r="32" spans="1:6" ht="17" x14ac:dyDescent="0.4">
      <c r="A32" s="1" t="str">
        <f>_xlfn.XLOOKUP(B32,表格1[ID],表格1[Dish])</f>
        <v>焗葡汁白菌豆腐飯</v>
      </c>
      <c r="B32" s="1" t="s">
        <v>208</v>
      </c>
      <c r="C32" s="1" t="s">
        <v>267</v>
      </c>
      <c r="D32" s="1" t="s">
        <v>304</v>
      </c>
      <c r="E32" s="25">
        <v>2</v>
      </c>
      <c r="F32" s="1" t="s">
        <v>381</v>
      </c>
    </row>
    <row r="33" spans="1:6" ht="17" x14ac:dyDescent="0.4">
      <c r="A33" s="1" t="str">
        <f>_xlfn.XLOOKUP(B33,表格1[ID],表格1[Dish])</f>
        <v>焗葡汁白菌豆腐飯</v>
      </c>
      <c r="B33" s="1" t="s">
        <v>208</v>
      </c>
      <c r="C33" s="1" t="s">
        <v>270</v>
      </c>
      <c r="D33" s="1" t="s">
        <v>434</v>
      </c>
      <c r="E33" s="25" t="s">
        <v>385</v>
      </c>
      <c r="F33" s="1" t="s">
        <v>239</v>
      </c>
    </row>
    <row r="34" spans="1:6" ht="17" x14ac:dyDescent="0.4">
      <c r="A34" s="1" t="str">
        <f>_xlfn.XLOOKUP(B34,表格1[ID],表格1[Dish])</f>
        <v>焗葡汁白菌豆腐飯</v>
      </c>
      <c r="B34" s="1" t="s">
        <v>208</v>
      </c>
      <c r="C34" s="1" t="s">
        <v>386</v>
      </c>
      <c r="D34" s="1" t="s">
        <v>244</v>
      </c>
      <c r="E34" s="25">
        <v>2</v>
      </c>
      <c r="F34" s="1" t="s">
        <v>384</v>
      </c>
    </row>
    <row r="35" spans="1:6" ht="17" x14ac:dyDescent="0.4">
      <c r="A35" s="1" t="str">
        <f>_xlfn.XLOOKUP(B35,表格1[ID],表格1[Dish])</f>
        <v>焗葡汁白菌豆腐飯</v>
      </c>
      <c r="B35" s="1" t="s">
        <v>208</v>
      </c>
      <c r="C35" s="1" t="s">
        <v>386</v>
      </c>
      <c r="D35" s="1" t="s">
        <v>237</v>
      </c>
      <c r="E35" s="25">
        <v>2</v>
      </c>
      <c r="F35" s="1" t="s">
        <v>381</v>
      </c>
    </row>
    <row r="36" spans="1:6" ht="17" x14ac:dyDescent="0.4">
      <c r="A36" s="1" t="str">
        <f>_xlfn.XLOOKUP(B36,表格1[ID],表格1[Dish])</f>
        <v>素羅宋湯</v>
      </c>
      <c r="B36" s="1" t="s">
        <v>207</v>
      </c>
      <c r="C36" s="1" t="s">
        <v>267</v>
      </c>
      <c r="D36" s="1" t="s">
        <v>308</v>
      </c>
      <c r="E36" s="25">
        <v>3</v>
      </c>
      <c r="F36" s="1" t="s">
        <v>387</v>
      </c>
    </row>
    <row r="37" spans="1:6" ht="17" x14ac:dyDescent="0.4">
      <c r="A37" s="1" t="str">
        <f>_xlfn.XLOOKUP(B37,表格1[ID],表格1[Dish])</f>
        <v>素羅宋湯</v>
      </c>
      <c r="B37" s="1" t="s">
        <v>207</v>
      </c>
      <c r="C37" s="1" t="s">
        <v>267</v>
      </c>
      <c r="D37" s="1" t="s">
        <v>310</v>
      </c>
      <c r="E37" s="25">
        <v>1</v>
      </c>
      <c r="F37" s="1" t="s">
        <v>387</v>
      </c>
    </row>
    <row r="38" spans="1:6" ht="17" x14ac:dyDescent="0.4">
      <c r="A38" s="1" t="str">
        <f>_xlfn.XLOOKUP(B38,表格1[ID],表格1[Dish])</f>
        <v>素羅宋湯</v>
      </c>
      <c r="B38" s="1" t="s">
        <v>207</v>
      </c>
      <c r="C38" s="1" t="s">
        <v>267</v>
      </c>
      <c r="D38" s="1" t="s">
        <v>312</v>
      </c>
      <c r="E38" s="25">
        <v>1</v>
      </c>
      <c r="F38" s="1" t="s">
        <v>388</v>
      </c>
    </row>
    <row r="39" spans="1:6" ht="17" x14ac:dyDescent="0.4">
      <c r="A39" s="1" t="str">
        <f>_xlfn.XLOOKUP(B39,表格1[ID],表格1[Dish])</f>
        <v>素羅宋湯</v>
      </c>
      <c r="B39" s="1" t="s">
        <v>207</v>
      </c>
      <c r="C39" s="1" t="s">
        <v>267</v>
      </c>
      <c r="D39" s="1" t="s">
        <v>849</v>
      </c>
      <c r="E39" s="25">
        <v>0.5</v>
      </c>
      <c r="F39" s="1" t="s">
        <v>387</v>
      </c>
    </row>
    <row r="40" spans="1:6" ht="17" x14ac:dyDescent="0.4">
      <c r="A40" s="1" t="str">
        <f>_xlfn.XLOOKUP(B40,表格1[ID],表格1[Dish])</f>
        <v>素羅宋湯</v>
      </c>
      <c r="B40" s="1" t="s">
        <v>207</v>
      </c>
      <c r="C40" s="1" t="s">
        <v>267</v>
      </c>
      <c r="D40" s="1" t="s">
        <v>314</v>
      </c>
      <c r="E40" s="25">
        <v>0.5</v>
      </c>
      <c r="F40" s="1" t="s">
        <v>383</v>
      </c>
    </row>
    <row r="41" spans="1:6" ht="17" x14ac:dyDescent="0.4">
      <c r="A41" s="1" t="str">
        <f>_xlfn.XLOOKUP(B41,表格1[ID],表格1[Dish])</f>
        <v>素羅宋湯</v>
      </c>
      <c r="B41" s="1" t="s">
        <v>207</v>
      </c>
      <c r="C41" s="1" t="s">
        <v>267</v>
      </c>
      <c r="D41" s="1" t="s">
        <v>304</v>
      </c>
      <c r="E41" s="25">
        <v>2</v>
      </c>
      <c r="F41" s="1" t="s">
        <v>381</v>
      </c>
    </row>
    <row r="42" spans="1:6" ht="17" x14ac:dyDescent="0.4">
      <c r="A42" s="1" t="str">
        <f>_xlfn.XLOOKUP(B42,表格1[ID],表格1[Dish])</f>
        <v>素羅宋湯</v>
      </c>
      <c r="B42" s="1" t="s">
        <v>207</v>
      </c>
      <c r="C42" s="1" t="s">
        <v>267</v>
      </c>
      <c r="D42" s="1" t="s">
        <v>318</v>
      </c>
      <c r="E42" s="25">
        <v>2</v>
      </c>
      <c r="F42" s="1" t="s">
        <v>381</v>
      </c>
    </row>
    <row r="43" spans="1:6" ht="17" x14ac:dyDescent="0.4">
      <c r="A43" s="1" t="str">
        <f>_xlfn.XLOOKUP(B43,表格1[ID],表格1[Dish])</f>
        <v>素羅宋湯</v>
      </c>
      <c r="B43" s="1" t="s">
        <v>207</v>
      </c>
      <c r="C43" s="1" t="s">
        <v>267</v>
      </c>
      <c r="D43" s="1" t="s">
        <v>298</v>
      </c>
      <c r="E43" s="25">
        <v>1</v>
      </c>
      <c r="F43" s="1" t="s">
        <v>389</v>
      </c>
    </row>
    <row r="44" spans="1:6" ht="17" x14ac:dyDescent="0.4">
      <c r="A44" s="1" t="str">
        <f>_xlfn.XLOOKUP(B44,表格1[ID],表格1[Dish])</f>
        <v>素羅宋湯</v>
      </c>
      <c r="B44" s="1" t="s">
        <v>207</v>
      </c>
      <c r="C44" s="1" t="s">
        <v>267</v>
      </c>
      <c r="D44" s="1" t="s">
        <v>237</v>
      </c>
      <c r="E44" s="25">
        <v>2</v>
      </c>
      <c r="F44" s="1" t="s">
        <v>389</v>
      </c>
    </row>
    <row r="45" spans="1:6" ht="17" x14ac:dyDescent="0.4">
      <c r="A45" s="1" t="str">
        <f>_xlfn.XLOOKUP(B45,表格1[ID],表格1[Dish])</f>
        <v>素羅宋湯</v>
      </c>
      <c r="B45" s="1" t="s">
        <v>207</v>
      </c>
      <c r="C45" s="1" t="s">
        <v>270</v>
      </c>
      <c r="D45" s="1" t="s">
        <v>242</v>
      </c>
      <c r="E45" s="25">
        <v>2</v>
      </c>
      <c r="F45" s="1" t="s">
        <v>384</v>
      </c>
    </row>
    <row r="46" spans="1:6" ht="17" x14ac:dyDescent="0.4">
      <c r="A46" s="1" t="str">
        <f>_xlfn.XLOOKUP(B46,表格1[ID],表格1[Dish])</f>
        <v>素羅宋湯</v>
      </c>
      <c r="B46" s="1" t="s">
        <v>207</v>
      </c>
      <c r="C46" s="1" t="s">
        <v>270</v>
      </c>
      <c r="D46" s="1" t="s">
        <v>316</v>
      </c>
      <c r="E46" s="25" t="s">
        <v>385</v>
      </c>
      <c r="F46" s="1" t="s">
        <v>239</v>
      </c>
    </row>
    <row r="47" spans="1:6" ht="17" x14ac:dyDescent="0.4">
      <c r="A47" s="1" t="str">
        <f>_xlfn.XLOOKUP(B47,表格1[ID],表格1[Dish])</f>
        <v>薯仔沙律蛋包</v>
      </c>
      <c r="B47" s="1" t="s">
        <v>206</v>
      </c>
      <c r="C47" s="1" t="s">
        <v>267</v>
      </c>
      <c r="D47" s="1" t="s">
        <v>321</v>
      </c>
      <c r="E47" s="25">
        <v>2</v>
      </c>
      <c r="F47" s="1" t="s">
        <v>387</v>
      </c>
    </row>
    <row r="48" spans="1:6" ht="17" x14ac:dyDescent="0.4">
      <c r="A48" s="1" t="str">
        <f>_xlfn.XLOOKUP(B48,表格1[ID],表格1[Dish])</f>
        <v>薯仔沙律蛋包</v>
      </c>
      <c r="B48" s="1" t="s">
        <v>206</v>
      </c>
      <c r="C48" s="1" t="s">
        <v>267</v>
      </c>
      <c r="D48" s="1" t="s">
        <v>310</v>
      </c>
      <c r="E48" s="25">
        <v>2</v>
      </c>
      <c r="F48" s="1" t="s">
        <v>390</v>
      </c>
    </row>
    <row r="49" spans="1:6" ht="17" x14ac:dyDescent="0.4">
      <c r="A49" s="1" t="str">
        <f>_xlfn.XLOOKUP(B49,表格1[ID],表格1[Dish])</f>
        <v>薯仔沙律蛋包</v>
      </c>
      <c r="B49" s="1" t="s">
        <v>206</v>
      </c>
      <c r="C49" s="1" t="s">
        <v>267</v>
      </c>
      <c r="D49" s="1" t="s">
        <v>227</v>
      </c>
      <c r="E49" s="25">
        <v>1</v>
      </c>
      <c r="F49" s="1" t="s">
        <v>390</v>
      </c>
    </row>
    <row r="50" spans="1:6" ht="17" x14ac:dyDescent="0.4">
      <c r="A50" s="1" t="str">
        <f>_xlfn.XLOOKUP(B50,表格1[ID],表格1[Dish])</f>
        <v>薯仔沙律蛋包</v>
      </c>
      <c r="B50" s="1" t="s">
        <v>206</v>
      </c>
      <c r="C50" s="1" t="s">
        <v>267</v>
      </c>
      <c r="D50" s="1" t="s">
        <v>312</v>
      </c>
      <c r="E50" s="25">
        <v>1</v>
      </c>
      <c r="F50" s="1" t="s">
        <v>381</v>
      </c>
    </row>
    <row r="51" spans="1:6" ht="17" x14ac:dyDescent="0.4">
      <c r="A51" s="1" t="str">
        <f>_xlfn.XLOOKUP(B51,表格1[ID],表格1[Dish])</f>
        <v>薯仔沙律蛋包</v>
      </c>
      <c r="B51" s="1" t="s">
        <v>206</v>
      </c>
      <c r="C51" s="1" t="s">
        <v>267</v>
      </c>
      <c r="D51" s="1" t="s">
        <v>323</v>
      </c>
      <c r="E51" s="25">
        <v>1</v>
      </c>
      <c r="F51" s="1" t="s">
        <v>381</v>
      </c>
    </row>
    <row r="52" spans="1:6" ht="17" x14ac:dyDescent="0.4">
      <c r="A52" s="1" t="str">
        <f>_xlfn.XLOOKUP(B52,表格1[ID],表格1[Dish])</f>
        <v>薯仔沙律蛋包</v>
      </c>
      <c r="B52" s="1" t="s">
        <v>206</v>
      </c>
      <c r="C52" s="1" t="s">
        <v>270</v>
      </c>
      <c r="D52" s="1" t="s">
        <v>240</v>
      </c>
      <c r="E52" s="25" t="s">
        <v>273</v>
      </c>
      <c r="F52" s="1" t="s">
        <v>239</v>
      </c>
    </row>
    <row r="53" spans="1:6" ht="17" x14ac:dyDescent="0.4">
      <c r="A53" s="1" t="str">
        <f>_xlfn.XLOOKUP(B53,表格1[ID],表格1[Dish])</f>
        <v>薯仔沙律蛋包</v>
      </c>
      <c r="B53" s="1" t="s">
        <v>206</v>
      </c>
      <c r="C53" s="1" t="s">
        <v>391</v>
      </c>
      <c r="D53" s="1" t="s">
        <v>325</v>
      </c>
      <c r="E53" s="25">
        <v>2</v>
      </c>
      <c r="F53" s="1" t="s">
        <v>381</v>
      </c>
    </row>
    <row r="54" spans="1:6" ht="17" x14ac:dyDescent="0.4">
      <c r="A54" s="1" t="str">
        <f>_xlfn.XLOOKUP(B54,表格1[ID],表格1[Dish])</f>
        <v>薯仔沙律蛋包</v>
      </c>
      <c r="B54" s="1" t="s">
        <v>206</v>
      </c>
      <c r="C54" s="1" t="s">
        <v>391</v>
      </c>
      <c r="D54" s="1" t="s">
        <v>327</v>
      </c>
      <c r="E54" s="25">
        <v>0.5</v>
      </c>
      <c r="F54" s="1" t="s">
        <v>384</v>
      </c>
    </row>
    <row r="55" spans="1:6" ht="17" x14ac:dyDescent="0.4">
      <c r="A55" s="1" t="str">
        <f>_xlfn.XLOOKUP(B55,表格1[ID],表格1[Dish])</f>
        <v>薯仔沙律蛋包</v>
      </c>
      <c r="B55" s="1" t="s">
        <v>206</v>
      </c>
      <c r="C55" s="1" t="s">
        <v>391</v>
      </c>
      <c r="D55" s="1" t="s">
        <v>329</v>
      </c>
      <c r="E55" s="25">
        <v>1</v>
      </c>
      <c r="F55" s="1" t="s">
        <v>384</v>
      </c>
    </row>
    <row r="56" spans="1:6" x14ac:dyDescent="0.4">
      <c r="A56" s="1" t="str">
        <f>_xlfn.XLOOKUP(B56,表格1[ID],表格1[Dish])</f>
        <v>麻婆豆腐</v>
      </c>
      <c r="B56" s="1" t="s">
        <v>134</v>
      </c>
      <c r="C56" s="1" t="s">
        <v>332</v>
      </c>
      <c r="D56" s="1" t="s">
        <v>334</v>
      </c>
      <c r="E56" s="25">
        <v>100</v>
      </c>
      <c r="F56" s="1" t="s">
        <v>352</v>
      </c>
    </row>
    <row r="57" spans="1:6" ht="17" x14ac:dyDescent="0.4">
      <c r="A57" s="1" t="str">
        <f>_xlfn.XLOOKUP(B57,表格1[ID],表格1[Dish])</f>
        <v>麻婆豆腐</v>
      </c>
      <c r="B57" s="1" t="s">
        <v>134</v>
      </c>
      <c r="C57" s="1" t="s">
        <v>332</v>
      </c>
      <c r="D57" s="1" t="s">
        <v>335</v>
      </c>
      <c r="E57" s="25">
        <v>1</v>
      </c>
      <c r="F57" s="1" t="s">
        <v>392</v>
      </c>
    </row>
    <row r="58" spans="1:6" x14ac:dyDescent="0.4">
      <c r="A58" s="1" t="str">
        <f>_xlfn.XLOOKUP(B58,表格1[ID],表格1[Dish])</f>
        <v>麻婆豆腐</v>
      </c>
      <c r="B58" s="1" t="s">
        <v>134</v>
      </c>
      <c r="C58" s="1" t="s">
        <v>332</v>
      </c>
      <c r="D58" s="1" t="s">
        <v>336</v>
      </c>
      <c r="E58" s="25">
        <v>20</v>
      </c>
      <c r="F58" s="1" t="s">
        <v>352</v>
      </c>
    </row>
    <row r="59" spans="1:6" ht="17" x14ac:dyDescent="0.4">
      <c r="A59" s="1" t="str">
        <f>_xlfn.XLOOKUP(B59,表格1[ID],表格1[Dish])</f>
        <v>麻婆豆腐</v>
      </c>
      <c r="B59" s="1" t="s">
        <v>134</v>
      </c>
      <c r="C59" s="1" t="s">
        <v>393</v>
      </c>
      <c r="D59" s="1" t="s">
        <v>350</v>
      </c>
      <c r="E59" s="25">
        <v>1</v>
      </c>
      <c r="F59" s="1" t="s">
        <v>394</v>
      </c>
    </row>
    <row r="60" spans="1:6" ht="17" x14ac:dyDescent="0.4">
      <c r="A60" s="1" t="str">
        <f>_xlfn.XLOOKUP(B60,表格1[ID],表格1[Dish])</f>
        <v>麻婆豆腐</v>
      </c>
      <c r="B60" s="1" t="s">
        <v>134</v>
      </c>
      <c r="C60" s="1" t="s">
        <v>332</v>
      </c>
      <c r="D60" s="1" t="s">
        <v>337</v>
      </c>
      <c r="E60" s="25">
        <v>1</v>
      </c>
      <c r="F60" s="1" t="s">
        <v>394</v>
      </c>
    </row>
    <row r="61" spans="1:6" ht="17" x14ac:dyDescent="0.4">
      <c r="A61" s="1" t="str">
        <f>_xlfn.XLOOKUP(B61,表格1[ID],表格1[Dish])</f>
        <v>麻婆豆腐</v>
      </c>
      <c r="B61" s="1" t="s">
        <v>134</v>
      </c>
      <c r="C61" s="1" t="s">
        <v>332</v>
      </c>
      <c r="D61" s="1" t="s">
        <v>338</v>
      </c>
      <c r="E61" s="25">
        <v>1</v>
      </c>
      <c r="F61" s="1" t="s">
        <v>394</v>
      </c>
    </row>
    <row r="62" spans="1:6" ht="17" x14ac:dyDescent="0.4">
      <c r="A62" s="1" t="str">
        <f>_xlfn.XLOOKUP(B62,表格1[ID],表格1[Dish])</f>
        <v>麻婆豆腐</v>
      </c>
      <c r="B62" s="1" t="s">
        <v>134</v>
      </c>
      <c r="C62" s="1" t="s">
        <v>333</v>
      </c>
      <c r="D62" s="1" t="s">
        <v>340</v>
      </c>
      <c r="E62" s="25">
        <v>1</v>
      </c>
      <c r="F62" s="1" t="s">
        <v>394</v>
      </c>
    </row>
    <row r="63" spans="1:6" ht="17" x14ac:dyDescent="0.4">
      <c r="A63" s="1" t="str">
        <f>_xlfn.XLOOKUP(B63,表格1[ID],表格1[Dish])</f>
        <v>麻婆豆腐</v>
      </c>
      <c r="B63" s="1" t="s">
        <v>134</v>
      </c>
      <c r="C63" s="1" t="s">
        <v>333</v>
      </c>
      <c r="D63" s="1" t="s">
        <v>341</v>
      </c>
      <c r="E63" s="25">
        <v>1</v>
      </c>
      <c r="F63" s="1" t="s">
        <v>394</v>
      </c>
    </row>
    <row r="64" spans="1:6" ht="17" x14ac:dyDescent="0.4">
      <c r="A64" s="1" t="str">
        <f>_xlfn.XLOOKUP(B64,表格1[ID],表格1[Dish])</f>
        <v>麻婆豆腐</v>
      </c>
      <c r="B64" s="1" t="s">
        <v>134</v>
      </c>
      <c r="C64" s="1" t="s">
        <v>333</v>
      </c>
      <c r="D64" s="1" t="s">
        <v>342</v>
      </c>
      <c r="E64" s="25">
        <v>2</v>
      </c>
      <c r="F64" s="1" t="s">
        <v>381</v>
      </c>
    </row>
    <row r="65" spans="1:6" ht="17" x14ac:dyDescent="0.4">
      <c r="A65" s="1" t="str">
        <f>_xlfn.XLOOKUP(B65,表格1[ID],表格1[Dish])</f>
        <v>麻婆豆腐</v>
      </c>
      <c r="B65" s="1" t="s">
        <v>134</v>
      </c>
      <c r="C65" s="1" t="s">
        <v>332</v>
      </c>
      <c r="D65" s="1" t="s">
        <v>298</v>
      </c>
      <c r="E65" s="25">
        <v>1</v>
      </c>
      <c r="F65" s="1" t="s">
        <v>395</v>
      </c>
    </row>
    <row r="66" spans="1:6" ht="17" x14ac:dyDescent="0.4">
      <c r="A66" s="1" t="str">
        <f>_xlfn.XLOOKUP(B66,表格1[ID],表格1[Dish])</f>
        <v>麻婆豆腐</v>
      </c>
      <c r="B66" s="1" t="s">
        <v>134</v>
      </c>
      <c r="C66" s="1" t="s">
        <v>333</v>
      </c>
      <c r="D66" s="1" t="s">
        <v>343</v>
      </c>
      <c r="E66" s="25">
        <v>1</v>
      </c>
      <c r="F66" s="1" t="s">
        <v>394</v>
      </c>
    </row>
    <row r="67" spans="1:6" ht="17" x14ac:dyDescent="0.4">
      <c r="A67" s="1" t="str">
        <f>_xlfn.XLOOKUP(B67,表格1[ID],表格1[Dish])</f>
        <v>麻婆豆腐</v>
      </c>
      <c r="B67" s="1" t="s">
        <v>134</v>
      </c>
      <c r="C67" s="1" t="s">
        <v>333</v>
      </c>
      <c r="D67" s="1" t="s">
        <v>244</v>
      </c>
      <c r="E67" s="25" t="s">
        <v>396</v>
      </c>
      <c r="F67" s="1" t="s">
        <v>355</v>
      </c>
    </row>
    <row r="68" spans="1:6" ht="17" x14ac:dyDescent="0.4">
      <c r="A68" s="1" t="str">
        <f>_xlfn.XLOOKUP(B68,表格1[ID],表格1[Dish])</f>
        <v>麻婆豆腐</v>
      </c>
      <c r="B68" s="1" t="s">
        <v>134</v>
      </c>
      <c r="C68" s="1" t="s">
        <v>333</v>
      </c>
      <c r="D68" s="1" t="s">
        <v>344</v>
      </c>
      <c r="E68" s="25">
        <v>0.5</v>
      </c>
      <c r="F68" s="1" t="s">
        <v>394</v>
      </c>
    </row>
    <row r="69" spans="1:6" ht="17" x14ac:dyDescent="0.4">
      <c r="A69" s="1" t="str">
        <f>_xlfn.XLOOKUP(B69,表格1[ID],表格1[Dish])</f>
        <v>麻婆豆腐</v>
      </c>
      <c r="B69" s="1" t="s">
        <v>134</v>
      </c>
      <c r="C69" s="1" t="s">
        <v>332</v>
      </c>
      <c r="D69" s="1" t="s">
        <v>345</v>
      </c>
      <c r="E69" s="25">
        <v>1</v>
      </c>
      <c r="F69" s="1" t="s">
        <v>381</v>
      </c>
    </row>
    <row r="70" spans="1:6" ht="17" x14ac:dyDescent="0.4">
      <c r="A70" s="1" t="str">
        <f>_xlfn.XLOOKUP(B70,表格1[ID],表格1[Dish])</f>
        <v>蒜蓉蒸茄子</v>
      </c>
      <c r="B70" s="1" t="s">
        <v>135</v>
      </c>
      <c r="C70" s="1" t="s">
        <v>332</v>
      </c>
      <c r="D70" s="1" t="s">
        <v>349</v>
      </c>
      <c r="E70" s="25">
        <v>1</v>
      </c>
      <c r="F70" s="1" t="s">
        <v>388</v>
      </c>
    </row>
    <row r="71" spans="1:6" ht="17" x14ac:dyDescent="0.4">
      <c r="A71" s="1" t="str">
        <f>_xlfn.XLOOKUP(B71,表格1[ID],表格1[Dish])</f>
        <v>蒜蓉蒸茄子</v>
      </c>
      <c r="B71" s="1" t="s">
        <v>135</v>
      </c>
      <c r="C71" s="1" t="s">
        <v>332</v>
      </c>
      <c r="D71" s="1" t="s">
        <v>338</v>
      </c>
      <c r="E71" s="25">
        <v>0.5</v>
      </c>
      <c r="F71" s="1" t="s">
        <v>387</v>
      </c>
    </row>
    <row r="72" spans="1:6" ht="17" x14ac:dyDescent="0.4">
      <c r="A72" s="1" t="str">
        <f>_xlfn.XLOOKUP(B72,表格1[ID],表格1[Dish])</f>
        <v>蒜蓉蒸茄子</v>
      </c>
      <c r="B72" s="1" t="s">
        <v>135</v>
      </c>
      <c r="C72" s="1" t="s">
        <v>356</v>
      </c>
      <c r="D72" s="1" t="s">
        <v>350</v>
      </c>
      <c r="E72" s="25">
        <v>1</v>
      </c>
      <c r="F72" s="1" t="s">
        <v>388</v>
      </c>
    </row>
    <row r="73" spans="1:6" ht="17" x14ac:dyDescent="0.4">
      <c r="A73" s="1" t="str">
        <f>_xlfn.XLOOKUP(B73,表格1[ID],表格1[Dish])</f>
        <v>蒜蓉蒸茄子</v>
      </c>
      <c r="B73" s="1" t="s">
        <v>135</v>
      </c>
      <c r="C73" s="1" t="s">
        <v>333</v>
      </c>
      <c r="D73" s="1" t="s">
        <v>242</v>
      </c>
      <c r="E73" s="25">
        <v>0.5</v>
      </c>
      <c r="F73" s="2" t="s">
        <v>248</v>
      </c>
    </row>
    <row r="74" spans="1:6" ht="17" x14ac:dyDescent="0.4">
      <c r="A74" s="1" t="str">
        <f>_xlfn.XLOOKUP(B74,表格1[ID],表格1[Dish])</f>
        <v>蒜蓉蒸茄子</v>
      </c>
      <c r="B74" s="1" t="s">
        <v>135</v>
      </c>
      <c r="C74" s="1" t="s">
        <v>333</v>
      </c>
      <c r="D74" s="1" t="s">
        <v>244</v>
      </c>
      <c r="E74" s="25">
        <v>1</v>
      </c>
      <c r="F74" s="2" t="s">
        <v>248</v>
      </c>
    </row>
    <row r="75" spans="1:6" ht="17" x14ac:dyDescent="0.4">
      <c r="A75" s="1" t="str">
        <f>_xlfn.XLOOKUP(B75,表格1[ID],表格1[Dish])</f>
        <v>蒜蓉蒸茄子</v>
      </c>
      <c r="B75" s="1" t="s">
        <v>135</v>
      </c>
      <c r="C75" s="1" t="s">
        <v>333</v>
      </c>
      <c r="D75" s="1" t="s">
        <v>347</v>
      </c>
      <c r="E75" s="25">
        <v>0.5</v>
      </c>
      <c r="F75" s="2" t="s">
        <v>248</v>
      </c>
    </row>
    <row r="76" spans="1:6" ht="17" x14ac:dyDescent="0.4">
      <c r="A76" s="1" t="str">
        <f>_xlfn.XLOOKUP(B76,表格1[ID],表格1[Dish])</f>
        <v>蒜蓉蒸茄子</v>
      </c>
      <c r="B76" s="1" t="s">
        <v>135</v>
      </c>
      <c r="C76" s="1" t="s">
        <v>333</v>
      </c>
      <c r="D76" s="1" t="s">
        <v>434</v>
      </c>
      <c r="E76" s="25" t="s">
        <v>396</v>
      </c>
      <c r="F76" s="1" t="s">
        <v>355</v>
      </c>
    </row>
    <row r="77" spans="1:6" ht="17" x14ac:dyDescent="0.4">
      <c r="A77" s="1" t="str">
        <f>_xlfn.XLOOKUP(B77,表格1[ID],表格1[Dish])</f>
        <v>金銀蛋菠菜</v>
      </c>
      <c r="B77" s="1" t="s">
        <v>136</v>
      </c>
      <c r="C77" s="1" t="s">
        <v>332</v>
      </c>
      <c r="D77" s="1" t="s">
        <v>401</v>
      </c>
      <c r="E77" s="25">
        <v>2</v>
      </c>
      <c r="F77" s="2" t="s">
        <v>228</v>
      </c>
    </row>
    <row r="78" spans="1:6" ht="17" x14ac:dyDescent="0.4">
      <c r="A78" s="1" t="str">
        <f>_xlfn.XLOOKUP(B78,表格1[ID],表格1[Dish])</f>
        <v>金銀蛋菠菜</v>
      </c>
      <c r="B78" s="1" t="s">
        <v>136</v>
      </c>
      <c r="C78" s="1" t="s">
        <v>332</v>
      </c>
      <c r="D78" s="1" t="s">
        <v>403</v>
      </c>
      <c r="E78" s="25">
        <v>2</v>
      </c>
      <c r="F78" s="2" t="s">
        <v>228</v>
      </c>
    </row>
    <row r="79" spans="1:6" x14ac:dyDescent="0.4">
      <c r="A79" s="1" t="str">
        <f>_xlfn.XLOOKUP(B79,表格1[ID],表格1[Dish])</f>
        <v>金銀蛋菠菜</v>
      </c>
      <c r="B79" s="1" t="s">
        <v>136</v>
      </c>
      <c r="C79" s="1" t="s">
        <v>332</v>
      </c>
      <c r="D79" s="1" t="s">
        <v>298</v>
      </c>
      <c r="E79" s="25">
        <v>500</v>
      </c>
      <c r="F79" s="1" t="s">
        <v>247</v>
      </c>
    </row>
    <row r="80" spans="1:6" ht="17" x14ac:dyDescent="0.4">
      <c r="A80" s="1" t="str">
        <f>_xlfn.XLOOKUP(B80,表格1[ID],表格1[Dish])</f>
        <v>金銀蛋菠菜</v>
      </c>
      <c r="B80" s="1" t="s">
        <v>136</v>
      </c>
      <c r="C80" s="1" t="s">
        <v>332</v>
      </c>
      <c r="D80" s="1" t="s">
        <v>405</v>
      </c>
      <c r="E80" s="25">
        <v>1</v>
      </c>
      <c r="F80" s="2" t="s">
        <v>409</v>
      </c>
    </row>
    <row r="81" spans="1:6" ht="17" x14ac:dyDescent="0.4">
      <c r="A81" s="1" t="str">
        <f>_xlfn.XLOOKUP(B81,表格1[ID],表格1[Dish])</f>
        <v>金銀蛋菠菜</v>
      </c>
      <c r="B81" s="1" t="s">
        <v>136</v>
      </c>
      <c r="C81" s="1" t="s">
        <v>332</v>
      </c>
      <c r="D81" s="1" t="s">
        <v>407</v>
      </c>
      <c r="E81" s="25">
        <v>4</v>
      </c>
      <c r="F81" s="2" t="s">
        <v>410</v>
      </c>
    </row>
    <row r="82" spans="1:6" ht="17" x14ac:dyDescent="0.4">
      <c r="A82" s="1" t="str">
        <f>_xlfn.XLOOKUP(B82,表格1[ID],表格1[Dish])</f>
        <v>薑葱焗桶蠔</v>
      </c>
      <c r="B82" s="1" t="s">
        <v>138</v>
      </c>
      <c r="C82" s="1" t="s">
        <v>332</v>
      </c>
      <c r="D82" s="1" t="s">
        <v>413</v>
      </c>
      <c r="E82" s="25">
        <v>1</v>
      </c>
      <c r="F82" s="2" t="s">
        <v>421</v>
      </c>
    </row>
    <row r="83" spans="1:6" ht="17" x14ac:dyDescent="0.4">
      <c r="A83" s="1" t="str">
        <f>_xlfn.XLOOKUP(B83,表格1[ID],表格1[Dish])</f>
        <v>薑葱焗桶蠔</v>
      </c>
      <c r="B83" s="1" t="s">
        <v>138</v>
      </c>
      <c r="C83" s="1" t="s">
        <v>332</v>
      </c>
      <c r="D83" s="1" t="s">
        <v>350</v>
      </c>
      <c r="E83" s="25">
        <v>4</v>
      </c>
      <c r="F83" s="2" t="s">
        <v>320</v>
      </c>
    </row>
    <row r="84" spans="1:6" ht="17" x14ac:dyDescent="0.4">
      <c r="A84" s="1" t="str">
        <f>_xlfn.XLOOKUP(B84,表格1[ID],表格1[Dish])</f>
        <v>薑葱焗桶蠔</v>
      </c>
      <c r="B84" s="1" t="s">
        <v>138</v>
      </c>
      <c r="C84" s="1" t="s">
        <v>332</v>
      </c>
      <c r="D84" s="1" t="s">
        <v>415</v>
      </c>
      <c r="E84" s="25">
        <v>8</v>
      </c>
      <c r="F84" s="2" t="s">
        <v>422</v>
      </c>
    </row>
    <row r="85" spans="1:6" ht="17" x14ac:dyDescent="0.4">
      <c r="A85" s="1" t="str">
        <f>_xlfn.XLOOKUP(B85,表格1[ID],表格1[Dish])</f>
        <v>薑葱焗桶蠔</v>
      </c>
      <c r="B85" s="1" t="s">
        <v>138</v>
      </c>
      <c r="C85" s="1" t="s">
        <v>332</v>
      </c>
      <c r="D85" s="1" t="s">
        <v>407</v>
      </c>
      <c r="E85" s="25">
        <v>4</v>
      </c>
      <c r="F85" s="2" t="s">
        <v>410</v>
      </c>
    </row>
    <row r="86" spans="1:6" ht="17" x14ac:dyDescent="0.4">
      <c r="A86" s="1" t="str">
        <f>_xlfn.XLOOKUP(B86,表格1[ID],表格1[Dish])</f>
        <v>薑葱焗桶蠔</v>
      </c>
      <c r="B86" s="1" t="s">
        <v>138</v>
      </c>
      <c r="C86" s="1" t="s">
        <v>333</v>
      </c>
      <c r="D86" s="1" t="s">
        <v>417</v>
      </c>
      <c r="E86" s="25">
        <v>1</v>
      </c>
      <c r="F86" s="2" t="s">
        <v>287</v>
      </c>
    </row>
    <row r="87" spans="1:6" ht="17" x14ac:dyDescent="0.4">
      <c r="A87" s="1" t="str">
        <f>_xlfn.XLOOKUP(B87,表格1[ID],表格1[Dish])</f>
        <v>薑葱焗桶蠔</v>
      </c>
      <c r="B87" s="1" t="s">
        <v>138</v>
      </c>
      <c r="C87" s="1" t="s">
        <v>333</v>
      </c>
      <c r="D87" s="1" t="s">
        <v>434</v>
      </c>
      <c r="E87" s="25">
        <v>0.5</v>
      </c>
      <c r="F87" s="2" t="s">
        <v>287</v>
      </c>
    </row>
    <row r="88" spans="1:6" ht="17" x14ac:dyDescent="0.4">
      <c r="A88" s="1" t="str">
        <f>_xlfn.XLOOKUP(B88,表格1[ID],表格1[Dish])</f>
        <v>薑葱焗桶蠔</v>
      </c>
      <c r="B88" s="1" t="s">
        <v>138</v>
      </c>
      <c r="C88" s="1" t="s">
        <v>333</v>
      </c>
      <c r="D88" s="1" t="s">
        <v>242</v>
      </c>
      <c r="E88" s="25">
        <v>0.5</v>
      </c>
      <c r="F88" s="2" t="s">
        <v>248</v>
      </c>
    </row>
    <row r="89" spans="1:6" ht="17" x14ac:dyDescent="0.4">
      <c r="A89" s="1" t="str">
        <f>_xlfn.XLOOKUP(B89,表格1[ID],表格1[Dish])</f>
        <v>薑葱焗桶蠔</v>
      </c>
      <c r="B89" s="1" t="s">
        <v>138</v>
      </c>
      <c r="C89" s="1" t="s">
        <v>333</v>
      </c>
      <c r="D89" s="1" t="s">
        <v>244</v>
      </c>
      <c r="E89" s="25">
        <v>5</v>
      </c>
      <c r="F89" s="2" t="s">
        <v>287</v>
      </c>
    </row>
    <row r="90" spans="1:6" ht="17" x14ac:dyDescent="0.4">
      <c r="A90" s="1" t="str">
        <f>_xlfn.XLOOKUP(B90,表格1[ID],表格1[Dish])</f>
        <v>薑葱焗桶蠔</v>
      </c>
      <c r="B90" s="1" t="s">
        <v>138</v>
      </c>
      <c r="C90" s="1" t="s">
        <v>333</v>
      </c>
      <c r="D90" s="1" t="s">
        <v>240</v>
      </c>
      <c r="E90" s="25" t="s">
        <v>396</v>
      </c>
      <c r="F90" s="1" t="s">
        <v>355</v>
      </c>
    </row>
    <row r="91" spans="1:6" x14ac:dyDescent="0.4">
      <c r="A91" s="1" t="str">
        <f>_xlfn.XLOOKUP(B91,表格1[ID],表格1[Dish])</f>
        <v>薑葱焗桶蠔</v>
      </c>
      <c r="B91" s="1" t="s">
        <v>138</v>
      </c>
      <c r="C91" s="1" t="s">
        <v>333</v>
      </c>
      <c r="D91" s="1" t="s">
        <v>419</v>
      </c>
      <c r="E91" s="25">
        <v>1</v>
      </c>
      <c r="F91" s="1" t="s">
        <v>287</v>
      </c>
    </row>
    <row r="92" spans="1:6" ht="17" x14ac:dyDescent="0.4">
      <c r="A92" s="1" t="str">
        <f>_xlfn.XLOOKUP(B92,表格1[ID],表格1[Dish])</f>
        <v>薑葱焗桶蠔</v>
      </c>
      <c r="B92" s="1" t="s">
        <v>138</v>
      </c>
      <c r="C92" s="1" t="s">
        <v>333</v>
      </c>
      <c r="D92" s="1" t="s">
        <v>344</v>
      </c>
      <c r="E92" s="25">
        <v>2</v>
      </c>
      <c r="F92" s="2" t="s">
        <v>455</v>
      </c>
    </row>
    <row r="93" spans="1:6" x14ac:dyDescent="0.4">
      <c r="A93" s="1" t="str">
        <f>_xlfn.XLOOKUP(B93,表格1[ID],表格1[Dish])</f>
        <v>土匪雞翼</v>
      </c>
      <c r="B93" s="1" t="s">
        <v>139</v>
      </c>
      <c r="C93" s="1" t="s">
        <v>332</v>
      </c>
      <c r="D93" s="1" t="s">
        <v>424</v>
      </c>
      <c r="E93" s="25">
        <v>0.5</v>
      </c>
      <c r="F93" s="1" t="s">
        <v>436</v>
      </c>
    </row>
    <row r="94" spans="1:6" ht="17" x14ac:dyDescent="0.4">
      <c r="A94" s="1" t="str">
        <f>_xlfn.XLOOKUP(B94,表格1[ID],表格1[Dish])</f>
        <v>土匪雞翼</v>
      </c>
      <c r="B94" s="1" t="s">
        <v>139</v>
      </c>
      <c r="C94" s="1" t="s">
        <v>356</v>
      </c>
      <c r="D94" s="1" t="s">
        <v>426</v>
      </c>
      <c r="E94" s="25" t="s">
        <v>396</v>
      </c>
      <c r="F94" s="1" t="s">
        <v>355</v>
      </c>
    </row>
    <row r="95" spans="1:6" x14ac:dyDescent="0.4">
      <c r="A95" s="1" t="str">
        <f>_xlfn.XLOOKUP(B95,表格1[ID],表格1[Dish])</f>
        <v>土匪雞翼</v>
      </c>
      <c r="B95" s="1" t="s">
        <v>139</v>
      </c>
      <c r="C95" s="1" t="s">
        <v>333</v>
      </c>
      <c r="D95" s="1" t="s">
        <v>434</v>
      </c>
      <c r="E95" s="25">
        <v>3</v>
      </c>
      <c r="F95" s="1" t="s">
        <v>353</v>
      </c>
    </row>
    <row r="96" spans="1:6" x14ac:dyDescent="0.4">
      <c r="A96" s="1" t="str">
        <f>_xlfn.XLOOKUP(B96,表格1[ID],表格1[Dish])</f>
        <v>土匪雞翼</v>
      </c>
      <c r="B96" s="1" t="s">
        <v>139</v>
      </c>
      <c r="C96" s="1" t="s">
        <v>333</v>
      </c>
      <c r="D96" s="1" t="s">
        <v>347</v>
      </c>
      <c r="E96" s="25">
        <v>1</v>
      </c>
      <c r="F96" s="1" t="s">
        <v>353</v>
      </c>
    </row>
    <row r="97" spans="1:6" x14ac:dyDescent="0.4">
      <c r="A97" s="1" t="str">
        <f>_xlfn.XLOOKUP(B97,表格1[ID],表格1[Dish])</f>
        <v>土匪雞翼</v>
      </c>
      <c r="B97" s="1" t="s">
        <v>139</v>
      </c>
      <c r="C97" s="1" t="s">
        <v>333</v>
      </c>
      <c r="D97" s="1" t="s">
        <v>428</v>
      </c>
      <c r="E97" s="25">
        <v>1</v>
      </c>
      <c r="F97" s="1" t="s">
        <v>353</v>
      </c>
    </row>
    <row r="98" spans="1:6" x14ac:dyDescent="0.4">
      <c r="A98" s="1" t="str">
        <f>_xlfn.XLOOKUP(B98,表格1[ID],表格1[Dish])</f>
        <v>土匪雞翼</v>
      </c>
      <c r="B98" s="1" t="s">
        <v>139</v>
      </c>
      <c r="C98" s="1" t="s">
        <v>333</v>
      </c>
      <c r="D98" s="1" t="s">
        <v>242</v>
      </c>
      <c r="E98" s="25">
        <v>1</v>
      </c>
      <c r="F98" s="1" t="s">
        <v>353</v>
      </c>
    </row>
    <row r="99" spans="1:6" x14ac:dyDescent="0.4">
      <c r="A99" s="1" t="str">
        <f>_xlfn.XLOOKUP(B99,表格1[ID],表格1[Dish])</f>
        <v>土匪雞翼</v>
      </c>
      <c r="B99" s="1" t="s">
        <v>139</v>
      </c>
      <c r="C99" s="1" t="s">
        <v>333</v>
      </c>
      <c r="D99" s="1" t="s">
        <v>430</v>
      </c>
      <c r="E99" s="25">
        <v>2</v>
      </c>
      <c r="F99" s="1" t="s">
        <v>353</v>
      </c>
    </row>
    <row r="100" spans="1:6" x14ac:dyDescent="0.4">
      <c r="A100" s="1" t="str">
        <f>_xlfn.XLOOKUP(B100,表格1[ID],表格1[Dish])</f>
        <v>土匪雞翼</v>
      </c>
      <c r="B100" s="1" t="s">
        <v>139</v>
      </c>
      <c r="C100" s="1" t="s">
        <v>333</v>
      </c>
      <c r="D100" s="1" t="s">
        <v>341</v>
      </c>
      <c r="E100" s="25">
        <v>1</v>
      </c>
      <c r="F100" s="1" t="s">
        <v>353</v>
      </c>
    </row>
    <row r="101" spans="1:6" ht="17" x14ac:dyDescent="0.4">
      <c r="A101" s="1" t="str">
        <f>_xlfn.XLOOKUP(B101,表格1[ID],表格1[Dish])</f>
        <v>土匪雞翼</v>
      </c>
      <c r="B101" s="1" t="s">
        <v>139</v>
      </c>
      <c r="C101" s="1" t="s">
        <v>333</v>
      </c>
      <c r="D101" s="1" t="s">
        <v>432</v>
      </c>
      <c r="E101" s="25">
        <v>2</v>
      </c>
      <c r="F101" s="2" t="s">
        <v>248</v>
      </c>
    </row>
    <row r="102" spans="1:6" ht="17" x14ac:dyDescent="0.4">
      <c r="A102" s="1" t="str">
        <f>_xlfn.XLOOKUP(B102,表格1[ID],表格1[Dish])</f>
        <v>涼伴雲耳</v>
      </c>
      <c r="B102" s="1" t="s">
        <v>140</v>
      </c>
      <c r="C102" s="1" t="s">
        <v>332</v>
      </c>
      <c r="D102" s="1" t="s">
        <v>449</v>
      </c>
      <c r="E102" s="26">
        <v>1</v>
      </c>
      <c r="F102" t="s">
        <v>456</v>
      </c>
    </row>
    <row r="103" spans="1:6" ht="17" x14ac:dyDescent="0.4">
      <c r="A103" s="1" t="str">
        <f>_xlfn.XLOOKUP(B103,表格1[ID],表格1[Dish])</f>
        <v>涼伴雲耳</v>
      </c>
      <c r="B103" s="1" t="s">
        <v>140</v>
      </c>
      <c r="C103" s="1" t="s">
        <v>333</v>
      </c>
      <c r="D103" s="1" t="s">
        <v>434</v>
      </c>
      <c r="E103" s="26">
        <v>1</v>
      </c>
      <c r="F103" t="s">
        <v>357</v>
      </c>
    </row>
    <row r="104" spans="1:6" ht="17" x14ac:dyDescent="0.4">
      <c r="A104" s="1" t="str">
        <f>_xlfn.XLOOKUP(B104,表格1[ID],表格1[Dish])</f>
        <v>涼伴雲耳</v>
      </c>
      <c r="B104" s="1" t="s">
        <v>140</v>
      </c>
      <c r="C104" s="1" t="s">
        <v>333</v>
      </c>
      <c r="D104" s="1" t="s">
        <v>451</v>
      </c>
      <c r="E104" s="26">
        <v>1</v>
      </c>
      <c r="F104" t="s">
        <v>357</v>
      </c>
    </row>
    <row r="105" spans="1:6" ht="17" x14ac:dyDescent="0.4">
      <c r="A105" s="1" t="str">
        <f>_xlfn.XLOOKUP(B105,表格1[ID],表格1[Dish])</f>
        <v>涼伴雲耳</v>
      </c>
      <c r="B105" s="1" t="s">
        <v>140</v>
      </c>
      <c r="C105" s="1" t="s">
        <v>333</v>
      </c>
      <c r="D105" s="1" t="s">
        <v>342</v>
      </c>
      <c r="E105" s="26">
        <v>1</v>
      </c>
      <c r="F105" t="s">
        <v>357</v>
      </c>
    </row>
    <row r="106" spans="1:6" ht="17" x14ac:dyDescent="0.4">
      <c r="A106" s="1" t="str">
        <f>_xlfn.XLOOKUP(B106,表格1[ID],表格1[Dish])</f>
        <v>涼伴雲耳</v>
      </c>
      <c r="B106" s="1" t="s">
        <v>140</v>
      </c>
      <c r="C106" s="1" t="s">
        <v>333</v>
      </c>
      <c r="D106" s="1" t="s">
        <v>242</v>
      </c>
      <c r="E106" s="26">
        <v>1</v>
      </c>
      <c r="F106" t="s">
        <v>357</v>
      </c>
    </row>
    <row r="107" spans="1:6" ht="17" x14ac:dyDescent="0.4">
      <c r="A107" s="1" t="str">
        <f>_xlfn.XLOOKUP(B107,表格1[ID],表格1[Dish])</f>
        <v>涼伴雲耳</v>
      </c>
      <c r="B107" s="1" t="s">
        <v>140</v>
      </c>
      <c r="C107" s="1" t="s">
        <v>333</v>
      </c>
      <c r="D107" s="1" t="s">
        <v>338</v>
      </c>
      <c r="E107" s="26">
        <v>1</v>
      </c>
      <c r="F107" t="s">
        <v>357</v>
      </c>
    </row>
    <row r="108" spans="1:6" ht="17" x14ac:dyDescent="0.4">
      <c r="A108" s="1" t="str">
        <f>_xlfn.XLOOKUP(B108,表格1[ID],表格1[Dish])</f>
        <v>涼伴雲耳</v>
      </c>
      <c r="B108" s="1" t="s">
        <v>140</v>
      </c>
      <c r="C108" s="1" t="s">
        <v>333</v>
      </c>
      <c r="D108" s="1" t="s">
        <v>417</v>
      </c>
      <c r="E108" s="26">
        <v>1</v>
      </c>
      <c r="F108" t="s">
        <v>357</v>
      </c>
    </row>
    <row r="109" spans="1:6" ht="17" x14ac:dyDescent="0.4">
      <c r="A109" s="1" t="str">
        <f>_xlfn.XLOOKUP(B109,表格1[ID],表格1[Dish])</f>
        <v>涼伴雲耳</v>
      </c>
      <c r="B109" s="1" t="s">
        <v>140</v>
      </c>
      <c r="C109" s="1" t="s">
        <v>333</v>
      </c>
      <c r="D109" s="1" t="s">
        <v>344</v>
      </c>
      <c r="E109" s="26">
        <v>1</v>
      </c>
      <c r="F109" t="s">
        <v>357</v>
      </c>
    </row>
    <row r="110" spans="1:6" ht="17" x14ac:dyDescent="0.4">
      <c r="A110" s="1" t="str">
        <f>_xlfn.XLOOKUP(B110,表格1[ID],表格1[Dish])</f>
        <v>涼伴雲耳</v>
      </c>
      <c r="B110" s="1" t="s">
        <v>140</v>
      </c>
      <c r="C110" s="1" t="s">
        <v>333</v>
      </c>
      <c r="D110" s="1" t="s">
        <v>345</v>
      </c>
      <c r="E110" s="26" t="s">
        <v>354</v>
      </c>
      <c r="F110" t="s">
        <v>355</v>
      </c>
    </row>
    <row r="111" spans="1:6" ht="17" x14ac:dyDescent="0.4">
      <c r="A111" s="1" t="str">
        <f>_xlfn.XLOOKUP(B111,表格1[ID],表格1[Dish])</f>
        <v>醬燒豆腐</v>
      </c>
      <c r="B111" s="1" t="s">
        <v>688</v>
      </c>
      <c r="C111" s="1" t="s">
        <v>332</v>
      </c>
      <c r="D111" s="1" t="s">
        <v>690</v>
      </c>
      <c r="E111" s="25">
        <v>1</v>
      </c>
      <c r="F111" s="2" t="s">
        <v>692</v>
      </c>
    </row>
    <row r="112" spans="1:6" ht="17" x14ac:dyDescent="0.4">
      <c r="A112" s="1" t="str">
        <f>_xlfn.XLOOKUP(B112,表格1[ID],表格1[Dish])</f>
        <v>醬燒豆腐</v>
      </c>
      <c r="B112" s="1" t="s">
        <v>688</v>
      </c>
      <c r="C112" s="1" t="s">
        <v>333</v>
      </c>
      <c r="D112" s="1" t="s">
        <v>242</v>
      </c>
      <c r="E112" s="25">
        <v>1</v>
      </c>
      <c r="F112" s="2" t="s">
        <v>248</v>
      </c>
    </row>
    <row r="113" spans="1:6" ht="17" x14ac:dyDescent="0.4">
      <c r="A113" s="1" t="str">
        <f>_xlfn.XLOOKUP(B113,表格1[ID],表格1[Dish])</f>
        <v>醬燒豆腐</v>
      </c>
      <c r="B113" s="1" t="s">
        <v>688</v>
      </c>
      <c r="C113" s="1" t="s">
        <v>333</v>
      </c>
      <c r="D113" s="1" t="s">
        <v>434</v>
      </c>
      <c r="E113" s="25">
        <v>2</v>
      </c>
      <c r="F113" s="2" t="s">
        <v>248</v>
      </c>
    </row>
    <row r="114" spans="1:6" ht="17" x14ac:dyDescent="0.4">
      <c r="A114" s="1" t="str">
        <f>_xlfn.XLOOKUP(B114,表格1[ID],表格1[Dish])</f>
        <v>醬燒豆腐</v>
      </c>
      <c r="B114" s="1" t="s">
        <v>688</v>
      </c>
      <c r="C114" s="1" t="s">
        <v>333</v>
      </c>
      <c r="D114" s="1" t="s">
        <v>237</v>
      </c>
      <c r="E114" s="25">
        <v>1</v>
      </c>
      <c r="F114" s="2" t="s">
        <v>287</v>
      </c>
    </row>
    <row r="115" spans="1:6" ht="17" x14ac:dyDescent="0.4">
      <c r="A115" s="1" t="str">
        <f>_xlfn.XLOOKUP(B115,表格1[ID],表格1[Dish])</f>
        <v>蒜香蒸豬五花高麗菜</v>
      </c>
      <c r="B115" s="1" t="s">
        <v>722</v>
      </c>
      <c r="C115" s="1" t="s">
        <v>332</v>
      </c>
      <c r="D115" s="1" t="s">
        <v>849</v>
      </c>
      <c r="E115" s="25">
        <v>0.25</v>
      </c>
      <c r="F115" s="2" t="s">
        <v>850</v>
      </c>
    </row>
    <row r="116" spans="1:6" x14ac:dyDescent="0.4">
      <c r="A116" s="1" t="str">
        <f>_xlfn.XLOOKUP(B116,表格1[ID],表格1[Dish])</f>
        <v>蒜香蒸豬五花高麗菜</v>
      </c>
      <c r="B116" s="1" t="s">
        <v>722</v>
      </c>
      <c r="C116" s="1" t="s">
        <v>332</v>
      </c>
      <c r="D116" s="1" t="s">
        <v>851</v>
      </c>
      <c r="E116" s="25">
        <v>200</v>
      </c>
      <c r="F116" s="1" t="s">
        <v>275</v>
      </c>
    </row>
    <row r="117" spans="1:6" ht="17" x14ac:dyDescent="0.4">
      <c r="A117" s="1" t="str">
        <f>_xlfn.XLOOKUP(B117,表格1[ID],表格1[Dish])</f>
        <v>蒜香蒸豬五花高麗菜</v>
      </c>
      <c r="B117" s="1" t="s">
        <v>722</v>
      </c>
      <c r="C117" s="1" t="s">
        <v>332</v>
      </c>
      <c r="D117" s="1" t="s">
        <v>407</v>
      </c>
      <c r="E117" s="25">
        <v>2</v>
      </c>
      <c r="F117" s="2" t="s">
        <v>410</v>
      </c>
    </row>
    <row r="118" spans="1:6" ht="17" x14ac:dyDescent="0.4">
      <c r="A118" s="1" t="str">
        <f>_xlfn.XLOOKUP(B118,表格1[ID],表格1[Dish])</f>
        <v>蒜香蒸豬五花高麗菜</v>
      </c>
      <c r="B118" s="1" t="s">
        <v>722</v>
      </c>
      <c r="C118" s="1" t="s">
        <v>333</v>
      </c>
      <c r="D118" s="1" t="s">
        <v>434</v>
      </c>
      <c r="E118" s="25">
        <v>1</v>
      </c>
      <c r="F118" s="2" t="s">
        <v>287</v>
      </c>
    </row>
    <row r="119" spans="1:6" ht="17" x14ac:dyDescent="0.4">
      <c r="A119" s="1" t="str">
        <f>_xlfn.XLOOKUP(B119,表格1[ID],表格1[Dish])</f>
        <v>蒜香蒸豬五花高麗菜</v>
      </c>
      <c r="B119" s="1" t="s">
        <v>722</v>
      </c>
      <c r="C119" s="1" t="s">
        <v>333</v>
      </c>
      <c r="D119" s="1" t="s">
        <v>853</v>
      </c>
      <c r="E119" s="25">
        <v>1</v>
      </c>
      <c r="F119" s="2" t="s">
        <v>287</v>
      </c>
    </row>
    <row r="120" spans="1:6" ht="17" x14ac:dyDescent="0.4">
      <c r="A120" s="1" t="str">
        <f>_xlfn.XLOOKUP(B120,表格1[ID],表格1[Dish])</f>
        <v>蒜香蒸豬五花高麗菜</v>
      </c>
      <c r="B120" s="1" t="s">
        <v>722</v>
      </c>
      <c r="C120" s="1" t="s">
        <v>333</v>
      </c>
      <c r="D120" s="1" t="s">
        <v>855</v>
      </c>
      <c r="E120" s="25">
        <v>1</v>
      </c>
      <c r="F120" s="2" t="s">
        <v>248</v>
      </c>
    </row>
    <row r="121" spans="1:6" ht="17" x14ac:dyDescent="0.4">
      <c r="A121" s="1" t="str">
        <f>_xlfn.XLOOKUP(B121,表格1[ID],表格1[Dish])</f>
        <v>蒜香蒸豬五花高麗菜</v>
      </c>
      <c r="B121" s="1" t="s">
        <v>722</v>
      </c>
      <c r="C121" s="1" t="s">
        <v>333</v>
      </c>
      <c r="D121" s="1" t="s">
        <v>242</v>
      </c>
      <c r="E121" s="25">
        <v>2</v>
      </c>
      <c r="F121" s="2" t="s">
        <v>248</v>
      </c>
    </row>
    <row r="122" spans="1:6" ht="17" x14ac:dyDescent="0.4">
      <c r="A122" s="1" t="str">
        <f>_xlfn.XLOOKUP(B122,表格1[ID],表格1[Dish])</f>
        <v>蒜香蒸豬五花高麗菜</v>
      </c>
      <c r="B122" s="1" t="s">
        <v>722</v>
      </c>
      <c r="C122" s="1" t="s">
        <v>333</v>
      </c>
      <c r="D122" s="1" t="s">
        <v>419</v>
      </c>
      <c r="E122" s="27" t="s">
        <v>862</v>
      </c>
      <c r="F122" s="2" t="s">
        <v>863</v>
      </c>
    </row>
    <row r="123" spans="1:6" x14ac:dyDescent="0.4">
      <c r="A123" s="1" t="str">
        <f>_xlfn.XLOOKUP(B123,表格1[ID],表格1[Dish])</f>
        <v>豆腐肉捲</v>
      </c>
      <c r="B123" s="1" t="s">
        <v>725</v>
      </c>
      <c r="C123" s="1" t="s">
        <v>332</v>
      </c>
      <c r="D123" s="1" t="s">
        <v>867</v>
      </c>
      <c r="E123" s="25">
        <v>200</v>
      </c>
      <c r="F123" s="1" t="s">
        <v>275</v>
      </c>
    </row>
    <row r="124" spans="1:6" ht="17" x14ac:dyDescent="0.4">
      <c r="A124" s="1" t="str">
        <f>_xlfn.XLOOKUP(B124,表格1[ID],表格1[Dish])</f>
        <v>豆腐肉捲</v>
      </c>
      <c r="B124" s="1" t="s">
        <v>725</v>
      </c>
      <c r="C124" s="1" t="s">
        <v>332</v>
      </c>
      <c r="D124" s="1" t="s">
        <v>869</v>
      </c>
      <c r="E124" s="25">
        <v>2</v>
      </c>
      <c r="F124" s="2" t="s">
        <v>871</v>
      </c>
    </row>
    <row r="125" spans="1:6" ht="17" x14ac:dyDescent="0.4">
      <c r="A125" s="1" t="str">
        <f>_xlfn.XLOOKUP(B125,表格1[ID],表格1[Dish])</f>
        <v>豆腐肉捲</v>
      </c>
      <c r="B125" s="1" t="s">
        <v>725</v>
      </c>
      <c r="C125" s="1" t="s">
        <v>333</v>
      </c>
      <c r="D125" s="1" t="s">
        <v>434</v>
      </c>
      <c r="E125" s="25">
        <v>1.5</v>
      </c>
      <c r="F125" s="2" t="s">
        <v>287</v>
      </c>
    </row>
    <row r="126" spans="1:6" ht="17" x14ac:dyDescent="0.4">
      <c r="A126" s="1" t="str">
        <f>_xlfn.XLOOKUP(B126,表格1[ID],表格1[Dish])</f>
        <v>豆腐肉捲</v>
      </c>
      <c r="B126" s="1" t="s">
        <v>725</v>
      </c>
      <c r="C126" s="1" t="s">
        <v>333</v>
      </c>
      <c r="D126" s="1" t="s">
        <v>872</v>
      </c>
      <c r="E126" s="25">
        <v>1</v>
      </c>
      <c r="F126" s="2" t="s">
        <v>287</v>
      </c>
    </row>
    <row r="127" spans="1:6" ht="17" x14ac:dyDescent="0.4">
      <c r="A127" s="1" t="str">
        <f>_xlfn.XLOOKUP(B127,表格1[ID],表格1[Dish])</f>
        <v>豆腐肉捲</v>
      </c>
      <c r="B127" s="1" t="s">
        <v>725</v>
      </c>
      <c r="C127" s="1" t="s">
        <v>333</v>
      </c>
      <c r="D127" s="1" t="s">
        <v>242</v>
      </c>
      <c r="E127" s="25">
        <v>1</v>
      </c>
      <c r="F127" s="2" t="s">
        <v>248</v>
      </c>
    </row>
    <row r="128" spans="1:6" x14ac:dyDescent="0.4">
      <c r="A128" s="1" t="str">
        <f>_xlfn.XLOOKUP(B128,表格1[ID],表格1[Dish])</f>
        <v>豆腐肉捲</v>
      </c>
      <c r="B128" s="1" t="s">
        <v>725</v>
      </c>
      <c r="C128" s="1" t="s">
        <v>333</v>
      </c>
      <c r="D128" s="1" t="s">
        <v>237</v>
      </c>
      <c r="E128" s="25">
        <v>50</v>
      </c>
      <c r="F128" s="1" t="s">
        <v>247</v>
      </c>
    </row>
    <row r="129" spans="1:6" ht="17" x14ac:dyDescent="0.4">
      <c r="A129" s="24" t="str">
        <f>_xlfn.XLOOKUP(B129,表格1[ID],表格1[Dish])</f>
        <v>和風洋葱蛋花湯</v>
      </c>
      <c r="B129" s="1" t="s">
        <v>848</v>
      </c>
      <c r="C129" s="1" t="s">
        <v>332</v>
      </c>
      <c r="D129" s="1" t="s">
        <v>877</v>
      </c>
      <c r="E129" s="25">
        <v>0.5</v>
      </c>
      <c r="F129" s="2" t="s">
        <v>850</v>
      </c>
    </row>
    <row r="130" spans="1:6" ht="17" x14ac:dyDescent="0.4">
      <c r="A130" s="24" t="str">
        <f>_xlfn.XLOOKUP(B130,表格1[ID],表格1[Dish])</f>
        <v>和風洋葱蛋花湯</v>
      </c>
      <c r="B130" s="1" t="s">
        <v>848</v>
      </c>
      <c r="C130" s="1" t="s">
        <v>332</v>
      </c>
      <c r="D130" s="1" t="s">
        <v>1077</v>
      </c>
      <c r="E130" s="25">
        <v>1</v>
      </c>
      <c r="F130" s="2" t="s">
        <v>850</v>
      </c>
    </row>
    <row r="131" spans="1:6" x14ac:dyDescent="0.4">
      <c r="A131" s="24" t="str">
        <f>_xlfn.XLOOKUP(B131,表格1[ID],表格1[Dish])</f>
        <v>和風洋葱蛋花湯</v>
      </c>
      <c r="B131" s="1" t="s">
        <v>848</v>
      </c>
      <c r="C131" s="1" t="s">
        <v>332</v>
      </c>
      <c r="D131" s="1" t="s">
        <v>237</v>
      </c>
      <c r="E131" s="25">
        <v>600</v>
      </c>
      <c r="F131" s="1" t="s">
        <v>247</v>
      </c>
    </row>
    <row r="132" spans="1:6" ht="17" x14ac:dyDescent="0.4">
      <c r="A132" s="24" t="str">
        <f>_xlfn.XLOOKUP(B132,表格1[ID],表格1[Dish])</f>
        <v>和風洋葱蛋花湯</v>
      </c>
      <c r="B132" s="1" t="s">
        <v>848</v>
      </c>
      <c r="C132" s="1" t="s">
        <v>332</v>
      </c>
      <c r="D132" s="1" t="s">
        <v>227</v>
      </c>
      <c r="E132" s="25">
        <v>2</v>
      </c>
      <c r="F132" s="2" t="s">
        <v>228</v>
      </c>
    </row>
    <row r="133" spans="1:6" ht="17" x14ac:dyDescent="0.4">
      <c r="A133" s="24" t="str">
        <f>_xlfn.XLOOKUP(B133,表格1[ID],表格1[Dish])</f>
        <v>和風洋葱蛋花湯</v>
      </c>
      <c r="B133" s="1" t="s">
        <v>848</v>
      </c>
      <c r="C133" s="1" t="s">
        <v>333</v>
      </c>
      <c r="D133" s="1" t="s">
        <v>240</v>
      </c>
      <c r="E133" s="26" t="s">
        <v>354</v>
      </c>
      <c r="F133" t="s">
        <v>355</v>
      </c>
    </row>
    <row r="134" spans="1:6" ht="17" x14ac:dyDescent="0.4">
      <c r="A134" s="24" t="str">
        <f>_xlfn.XLOOKUP(B134,表格1[ID],表格1[Dish])</f>
        <v>和風洋葱蛋花湯</v>
      </c>
      <c r="B134" s="1" t="s">
        <v>848</v>
      </c>
      <c r="C134" s="1" t="s">
        <v>333</v>
      </c>
      <c r="D134" s="1" t="s">
        <v>341</v>
      </c>
      <c r="E134" s="26" t="s">
        <v>354</v>
      </c>
      <c r="F134" t="s">
        <v>355</v>
      </c>
    </row>
    <row r="135" spans="1:6" ht="17" x14ac:dyDescent="0.4">
      <c r="A135" s="24" t="str">
        <f>_xlfn.XLOOKUP(B135,表格1[ID],表格1[Dish])</f>
        <v>梅汁涼拌秋葵</v>
      </c>
      <c r="B135" s="1" t="s">
        <v>793</v>
      </c>
      <c r="C135" s="1" t="s">
        <v>332</v>
      </c>
      <c r="D135" s="1" t="s">
        <v>1085</v>
      </c>
      <c r="E135" s="25">
        <v>1</v>
      </c>
      <c r="F135" s="2" t="s">
        <v>1089</v>
      </c>
    </row>
    <row r="136" spans="1:6" ht="17" x14ac:dyDescent="0.4">
      <c r="A136" s="24" t="str">
        <f>_xlfn.XLOOKUP(B136,表格1[ID],表格1[Dish])</f>
        <v>梅汁涼拌秋葵</v>
      </c>
      <c r="B136" s="1" t="s">
        <v>793</v>
      </c>
      <c r="C136" s="1" t="s">
        <v>333</v>
      </c>
      <c r="D136" s="1" t="s">
        <v>1087</v>
      </c>
      <c r="E136" s="25">
        <v>1</v>
      </c>
      <c r="F136" s="2" t="s">
        <v>287</v>
      </c>
    </row>
    <row r="137" spans="1:6" ht="17" x14ac:dyDescent="0.4">
      <c r="A137" s="24" t="str">
        <f>_xlfn.XLOOKUP(B137,表格1[ID],表格1[Dish])</f>
        <v>梅汁涼拌秋葵</v>
      </c>
      <c r="B137" s="1" t="s">
        <v>793</v>
      </c>
      <c r="C137" s="1" t="s">
        <v>333</v>
      </c>
      <c r="D137" s="1" t="s">
        <v>434</v>
      </c>
      <c r="E137" s="25">
        <v>1</v>
      </c>
      <c r="F137" s="2" t="s">
        <v>287</v>
      </c>
    </row>
    <row r="138" spans="1:6" ht="17" x14ac:dyDescent="0.4">
      <c r="A138" s="24" t="str">
        <f>_xlfn.XLOOKUP(B138,表格1[ID],表格1[Dish])</f>
        <v>梅汁涼拌秋葵</v>
      </c>
      <c r="B138" s="1" t="s">
        <v>793</v>
      </c>
      <c r="C138" s="1" t="s">
        <v>333</v>
      </c>
      <c r="D138" s="1" t="s">
        <v>872</v>
      </c>
      <c r="E138" s="25">
        <v>1</v>
      </c>
      <c r="F138" s="2" t="s">
        <v>287</v>
      </c>
    </row>
    <row r="139" spans="1:6" x14ac:dyDescent="0.4">
      <c r="A139" s="24" t="str">
        <f>_xlfn.XLOOKUP(B139,表格1[ID],表格1[Dish])</f>
        <v>野菜炒豬肉</v>
      </c>
      <c r="B139" s="1" t="s">
        <v>731</v>
      </c>
      <c r="C139" s="1" t="s">
        <v>332</v>
      </c>
      <c r="D139" s="1" t="s">
        <v>867</v>
      </c>
      <c r="E139" s="25">
        <v>200</v>
      </c>
      <c r="F139" s="1" t="s">
        <v>275</v>
      </c>
    </row>
    <row r="140" spans="1:6" ht="17" x14ac:dyDescent="0.4">
      <c r="A140" s="24" t="str">
        <f>_xlfn.XLOOKUP(B140,表格1[ID],表格1[Dish])</f>
        <v>野菜炒豬肉</v>
      </c>
      <c r="B140" s="1" t="s">
        <v>731</v>
      </c>
      <c r="C140" s="1" t="s">
        <v>332</v>
      </c>
      <c r="D140" s="1" t="s">
        <v>849</v>
      </c>
      <c r="E140" s="25">
        <v>0.25</v>
      </c>
      <c r="F140" s="2" t="s">
        <v>850</v>
      </c>
    </row>
    <row r="141" spans="1:6" ht="17" x14ac:dyDescent="0.4">
      <c r="A141" s="24" t="str">
        <f>_xlfn.XLOOKUP(B141,表格1[ID],表格1[Dish])</f>
        <v>野菜炒豬肉</v>
      </c>
      <c r="B141" s="1" t="s">
        <v>731</v>
      </c>
      <c r="C141" s="1" t="s">
        <v>332</v>
      </c>
      <c r="D141" s="1" t="s">
        <v>312</v>
      </c>
      <c r="E141" s="25">
        <v>0.5</v>
      </c>
      <c r="F141" s="2" t="s">
        <v>320</v>
      </c>
    </row>
    <row r="142" spans="1:6" ht="17" x14ac:dyDescent="0.4">
      <c r="A142" s="24" t="str">
        <f>_xlfn.XLOOKUP(B142,表格1[ID],表格1[Dish])</f>
        <v>野菜炒豬肉</v>
      </c>
      <c r="B142" s="1" t="s">
        <v>731</v>
      </c>
      <c r="C142" s="1" t="s">
        <v>332</v>
      </c>
      <c r="D142" s="1" t="s">
        <v>1090</v>
      </c>
      <c r="E142" s="25">
        <v>1</v>
      </c>
      <c r="F142" s="2" t="s">
        <v>1095</v>
      </c>
    </row>
    <row r="143" spans="1:6" ht="17" x14ac:dyDescent="0.4">
      <c r="A143" s="24" t="str">
        <f>_xlfn.XLOOKUP(B143,表格1[ID],表格1[Dish])</f>
        <v>野菜炒豬肉</v>
      </c>
      <c r="B143" s="1" t="s">
        <v>731</v>
      </c>
      <c r="C143" s="1" t="s">
        <v>332</v>
      </c>
      <c r="D143" s="22" t="s">
        <v>350</v>
      </c>
      <c r="E143" s="25">
        <v>2</v>
      </c>
      <c r="F143" s="1" t="s">
        <v>320</v>
      </c>
    </row>
    <row r="144" spans="1:6" x14ac:dyDescent="0.4">
      <c r="A144" s="24" t="str">
        <f>_xlfn.XLOOKUP(B144,表格1[ID],表格1[Dish])</f>
        <v>野菜炒豬肉</v>
      </c>
      <c r="B144" s="1" t="s">
        <v>731</v>
      </c>
      <c r="C144" s="1" t="s">
        <v>332</v>
      </c>
      <c r="D144" s="1" t="s">
        <v>407</v>
      </c>
      <c r="E144" s="25">
        <v>2</v>
      </c>
      <c r="F144" s="1" t="s">
        <v>410</v>
      </c>
    </row>
    <row r="145" spans="1:6" x14ac:dyDescent="0.4">
      <c r="A145" s="24" t="str">
        <f>_xlfn.XLOOKUP(B145,表格1[ID],表格1[Dish])</f>
        <v>野菜炒豬肉</v>
      </c>
      <c r="B145" s="1" t="s">
        <v>731</v>
      </c>
      <c r="C145" s="1" t="s">
        <v>333</v>
      </c>
      <c r="D145" s="1" t="s">
        <v>240</v>
      </c>
      <c r="E145" s="25" t="s">
        <v>354</v>
      </c>
      <c r="F145" s="1" t="s">
        <v>355</v>
      </c>
    </row>
    <row r="146" spans="1:6" x14ac:dyDescent="0.4">
      <c r="A146" s="24" t="str">
        <f>_xlfn.XLOOKUP(B146,表格1[ID],表格1[Dish])</f>
        <v>野菜炒豬肉</v>
      </c>
      <c r="B146" s="1" t="s">
        <v>731</v>
      </c>
      <c r="C146" s="1" t="s">
        <v>333</v>
      </c>
      <c r="D146" s="1" t="s">
        <v>434</v>
      </c>
      <c r="E146" s="25">
        <v>1</v>
      </c>
      <c r="F146" s="1" t="s">
        <v>248</v>
      </c>
    </row>
    <row r="147" spans="1:6" x14ac:dyDescent="0.4">
      <c r="A147" s="24" t="str">
        <f>_xlfn.XLOOKUP(B147,表格1[ID],表格1[Dish])</f>
        <v>野菜炒豬肉</v>
      </c>
      <c r="B147" s="1" t="s">
        <v>731</v>
      </c>
      <c r="C147" s="1" t="s">
        <v>333</v>
      </c>
      <c r="D147" s="1" t="s">
        <v>242</v>
      </c>
      <c r="E147" s="25">
        <v>0.5</v>
      </c>
      <c r="F147" s="1" t="s">
        <v>248</v>
      </c>
    </row>
    <row r="148" spans="1:6" x14ac:dyDescent="0.4">
      <c r="A148" s="24" t="str">
        <f>_xlfn.XLOOKUP(B148,表格1[ID],表格1[Dish])</f>
        <v>拍青瓜</v>
      </c>
      <c r="B148" s="1" t="s">
        <v>141</v>
      </c>
      <c r="C148" s="1" t="s">
        <v>332</v>
      </c>
      <c r="D148" s="1" t="s">
        <v>1101</v>
      </c>
      <c r="E148" s="25">
        <v>1</v>
      </c>
      <c r="F148" s="1" t="s">
        <v>1093</v>
      </c>
    </row>
    <row r="149" spans="1:6" x14ac:dyDescent="0.4">
      <c r="A149" s="24" t="str">
        <f>_xlfn.XLOOKUP(B149,表格1[ID],表格1[Dish])</f>
        <v>拍青瓜</v>
      </c>
      <c r="B149" s="1" t="s">
        <v>141</v>
      </c>
      <c r="C149" s="1" t="s">
        <v>333</v>
      </c>
      <c r="D149" s="1" t="s">
        <v>407</v>
      </c>
      <c r="E149" s="25">
        <v>5</v>
      </c>
      <c r="F149" s="1" t="s">
        <v>1094</v>
      </c>
    </row>
    <row r="150" spans="1:6" x14ac:dyDescent="0.4">
      <c r="A150" s="24" t="str">
        <f>_xlfn.XLOOKUP(B150,表格1[ID],表格1[Dish])</f>
        <v>拍青瓜</v>
      </c>
      <c r="B150" s="1" t="s">
        <v>141</v>
      </c>
      <c r="C150" s="1" t="s">
        <v>333</v>
      </c>
      <c r="D150" s="1" t="s">
        <v>1103</v>
      </c>
      <c r="E150" s="25">
        <v>2</v>
      </c>
      <c r="F150" s="1" t="s">
        <v>357</v>
      </c>
    </row>
    <row r="151" spans="1:6" x14ac:dyDescent="0.4">
      <c r="A151" s="24" t="str">
        <f>_xlfn.XLOOKUP(B151,表格1[ID],表格1[Dish])</f>
        <v>拍青瓜</v>
      </c>
      <c r="B151" s="1" t="s">
        <v>141</v>
      </c>
      <c r="C151" s="1" t="s">
        <v>333</v>
      </c>
      <c r="D151" s="1" t="s">
        <v>242</v>
      </c>
      <c r="E151" s="25">
        <v>2</v>
      </c>
      <c r="F151" s="1" t="s">
        <v>353</v>
      </c>
    </row>
    <row r="152" spans="1:6" x14ac:dyDescent="0.4">
      <c r="A152" s="24" t="str">
        <f>_xlfn.XLOOKUP(B152,表格1[ID],表格1[Dish])</f>
        <v>拍青瓜</v>
      </c>
      <c r="B152" s="1" t="s">
        <v>141</v>
      </c>
      <c r="C152" s="1" t="s">
        <v>333</v>
      </c>
      <c r="D152" s="1" t="s">
        <v>344</v>
      </c>
      <c r="E152" s="25">
        <v>1</v>
      </c>
      <c r="F152" s="25" t="s">
        <v>357</v>
      </c>
    </row>
    <row r="153" spans="1:6" x14ac:dyDescent="0.4">
      <c r="A153" s="24" t="str">
        <f>_xlfn.XLOOKUP(B153,表格1[ID],表格1[Dish])</f>
        <v>拍青瓜</v>
      </c>
      <c r="B153" s="1" t="s">
        <v>141</v>
      </c>
      <c r="C153" s="1" t="s">
        <v>333</v>
      </c>
      <c r="D153" s="1" t="s">
        <v>240</v>
      </c>
      <c r="E153" s="25">
        <v>1</v>
      </c>
      <c r="F153" s="25" t="s">
        <v>353</v>
      </c>
    </row>
    <row r="154" spans="1:6" x14ac:dyDescent="0.4">
      <c r="A154" s="24" t="str">
        <f>_xlfn.XLOOKUP(B154,表格1[ID],表格1[Dish])</f>
        <v>拍青瓜</v>
      </c>
      <c r="B154" s="1" t="s">
        <v>141</v>
      </c>
      <c r="C154" s="1" t="s">
        <v>333</v>
      </c>
      <c r="D154" s="1" t="s">
        <v>434</v>
      </c>
      <c r="E154" s="25">
        <v>1</v>
      </c>
      <c r="F154" s="25" t="s">
        <v>353</v>
      </c>
    </row>
    <row r="155" spans="1:6" x14ac:dyDescent="0.4">
      <c r="A155" s="24" t="str">
        <f>_xlfn.XLOOKUP(B155,表格1[ID],表格1[Dish])</f>
        <v>拍青瓜</v>
      </c>
      <c r="B155" s="1" t="s">
        <v>141</v>
      </c>
      <c r="C155" s="1" t="s">
        <v>333</v>
      </c>
      <c r="D155" s="1" t="s">
        <v>1105</v>
      </c>
      <c r="E155" s="25" t="s">
        <v>354</v>
      </c>
      <c r="F155" s="25" t="s">
        <v>355</v>
      </c>
    </row>
    <row r="156" spans="1:6" x14ac:dyDescent="0.4">
      <c r="A156" s="24" t="str">
        <f>_xlfn.XLOOKUP(B156,表格1[ID],表格1[Dish])</f>
        <v>涼伴雞絲</v>
      </c>
      <c r="B156" s="1" t="s">
        <v>142</v>
      </c>
      <c r="C156" s="1" t="s">
        <v>332</v>
      </c>
      <c r="D156" s="1" t="s">
        <v>1115</v>
      </c>
      <c r="E156" s="25">
        <v>4</v>
      </c>
      <c r="F156" s="25" t="s">
        <v>1109</v>
      </c>
    </row>
    <row r="157" spans="1:6" x14ac:dyDescent="0.4">
      <c r="A157" s="24" t="str">
        <f>_xlfn.XLOOKUP(B157,表格1[ID],表格1[Dish])</f>
        <v>涼伴雞絲</v>
      </c>
      <c r="B157" s="1" t="s">
        <v>142</v>
      </c>
      <c r="C157" s="1" t="s">
        <v>333</v>
      </c>
      <c r="D157" s="1" t="s">
        <v>432</v>
      </c>
      <c r="E157" s="25">
        <v>1</v>
      </c>
      <c r="F157" s="25" t="s">
        <v>353</v>
      </c>
    </row>
    <row r="158" spans="1:6" x14ac:dyDescent="0.4">
      <c r="A158" s="24" t="str">
        <f>_xlfn.XLOOKUP(B158,表格1[ID],表格1[Dish])</f>
        <v>涼伴雞絲</v>
      </c>
      <c r="B158" s="1" t="s">
        <v>142</v>
      </c>
      <c r="C158" s="1" t="s">
        <v>333</v>
      </c>
      <c r="D158" s="1" t="s">
        <v>240</v>
      </c>
      <c r="E158" s="25">
        <v>1</v>
      </c>
      <c r="F158" s="25" t="s">
        <v>353</v>
      </c>
    </row>
    <row r="159" spans="1:6" x14ac:dyDescent="0.4">
      <c r="A159" s="24" t="str">
        <f>_xlfn.XLOOKUP(B159,表格1[ID],表格1[Dish])</f>
        <v>涼伴雞絲</v>
      </c>
      <c r="B159" s="1" t="s">
        <v>142</v>
      </c>
      <c r="C159" s="1" t="s">
        <v>333</v>
      </c>
      <c r="D159" s="1" t="s">
        <v>347</v>
      </c>
      <c r="E159" s="25">
        <v>1</v>
      </c>
      <c r="F159" s="25" t="s">
        <v>353</v>
      </c>
    </row>
    <row r="160" spans="1:6" x14ac:dyDescent="0.4">
      <c r="A160" s="24" t="str">
        <f>_xlfn.XLOOKUP(B160,表格1[ID],表格1[Dish])</f>
        <v>涼伴雞絲</v>
      </c>
      <c r="B160" s="1" t="s">
        <v>142</v>
      </c>
      <c r="C160" s="1" t="s">
        <v>333</v>
      </c>
      <c r="D160" s="1" t="s">
        <v>344</v>
      </c>
      <c r="E160" s="25" t="s">
        <v>354</v>
      </c>
      <c r="F160" s="25" t="s">
        <v>355</v>
      </c>
    </row>
    <row r="161" spans="1:6" x14ac:dyDescent="0.4">
      <c r="A161" s="24" t="str">
        <f>_xlfn.XLOOKUP(B161,表格1[ID],表格1[Dish])</f>
        <v>涼伴雞絲</v>
      </c>
      <c r="B161" s="1" t="s">
        <v>142</v>
      </c>
      <c r="C161" s="1" t="s">
        <v>356</v>
      </c>
      <c r="D161" s="1" t="s">
        <v>1117</v>
      </c>
      <c r="E161" s="25" t="s">
        <v>354</v>
      </c>
      <c r="F161" s="25" t="s">
        <v>355</v>
      </c>
    </row>
    <row r="162" spans="1:6" x14ac:dyDescent="0.4">
      <c r="A162" s="24" t="str">
        <f>_xlfn.XLOOKUP(B162,表格1[ID],表格1[Dish])</f>
        <v>薑汁撞奶</v>
      </c>
      <c r="B162" s="1" t="s">
        <v>147</v>
      </c>
      <c r="C162" s="1" t="s">
        <v>332</v>
      </c>
      <c r="D162" s="1" t="s">
        <v>283</v>
      </c>
      <c r="E162" s="25">
        <v>2</v>
      </c>
      <c r="F162" s="25" t="s">
        <v>1128</v>
      </c>
    </row>
    <row r="163" spans="1:6" ht="17" x14ac:dyDescent="0.4">
      <c r="A163" s="24" t="str">
        <f>_xlfn.XLOOKUP(B163,表格1[ID],表格1[Dish])</f>
        <v>薑汁撞奶</v>
      </c>
      <c r="B163" s="1" t="s">
        <v>147</v>
      </c>
      <c r="C163" s="1" t="s">
        <v>333</v>
      </c>
      <c r="D163" s="2" t="s">
        <v>1129</v>
      </c>
      <c r="E163" s="25">
        <v>2</v>
      </c>
      <c r="F163" s="25" t="s">
        <v>287</v>
      </c>
    </row>
    <row r="164" spans="1:6" x14ac:dyDescent="0.4">
      <c r="A164" s="24" t="str">
        <f>_xlfn.XLOOKUP(B164,表格1[ID],表格1[Dish])</f>
        <v>薑汁撞奶</v>
      </c>
      <c r="B164" s="1" t="s">
        <v>147</v>
      </c>
      <c r="C164" s="1" t="s">
        <v>333</v>
      </c>
      <c r="D164" s="1" t="s">
        <v>242</v>
      </c>
      <c r="E164" s="25">
        <v>2</v>
      </c>
      <c r="F164" s="25" t="s">
        <v>248</v>
      </c>
    </row>
    <row r="165" spans="1:6" x14ac:dyDescent="0.4">
      <c r="A165" s="24" t="str">
        <f>_xlfn.XLOOKUP(B165,表格1[ID],表格1[Dish])</f>
        <v>洋葱豬排</v>
      </c>
      <c r="B165" s="1" t="s">
        <v>148</v>
      </c>
      <c r="C165" s="1" t="s">
        <v>332</v>
      </c>
      <c r="D165" s="1" t="s">
        <v>1141</v>
      </c>
      <c r="E165" s="25">
        <v>2</v>
      </c>
      <c r="F165" s="25" t="s">
        <v>1135</v>
      </c>
    </row>
    <row r="166" spans="1:6" ht="17" x14ac:dyDescent="0.4">
      <c r="A166" s="24" t="str">
        <f>_xlfn.XLOOKUP(B166,表格1[ID],表格1[Dish])</f>
        <v>洋葱豬排</v>
      </c>
      <c r="B166" s="1" t="s">
        <v>148</v>
      </c>
      <c r="C166" s="1" t="s">
        <v>332</v>
      </c>
      <c r="D166" s="1" t="s">
        <v>877</v>
      </c>
      <c r="E166" s="1">
        <v>1</v>
      </c>
      <c r="F166" s="1" t="s">
        <v>1162</v>
      </c>
    </row>
    <row r="167" spans="1:6" ht="17" x14ac:dyDescent="0.4">
      <c r="A167" s="24" t="str">
        <f>_xlfn.XLOOKUP(B167,表格1[ID],表格1[Dish])</f>
        <v>洋葱豬排</v>
      </c>
      <c r="B167" s="1" t="s">
        <v>148</v>
      </c>
      <c r="C167" s="9" t="s">
        <v>333</v>
      </c>
      <c r="D167" s="1" t="s">
        <v>338</v>
      </c>
      <c r="E167" s="1">
        <v>1</v>
      </c>
      <c r="F167" s="1" t="s">
        <v>394</v>
      </c>
    </row>
    <row r="168" spans="1:6" ht="17" x14ac:dyDescent="0.4">
      <c r="A168" s="24" t="str">
        <f>_xlfn.XLOOKUP(B168,表格1[ID],表格1[Dish])</f>
        <v>洋葱豬排</v>
      </c>
      <c r="B168" s="1" t="s">
        <v>148</v>
      </c>
      <c r="C168" s="9" t="s">
        <v>333</v>
      </c>
      <c r="D168" s="1" t="s">
        <v>227</v>
      </c>
      <c r="E168" s="1">
        <v>1</v>
      </c>
      <c r="F168" s="1" t="s">
        <v>1163</v>
      </c>
    </row>
    <row r="169" spans="1:6" ht="17" x14ac:dyDescent="0.4">
      <c r="A169" s="24" t="str">
        <f>_xlfn.XLOOKUP(B169,表格1[ID],表格1[Dish])</f>
        <v>洋葱豬排</v>
      </c>
      <c r="B169" s="1" t="s">
        <v>148</v>
      </c>
      <c r="C169" s="9" t="s">
        <v>333</v>
      </c>
      <c r="D169" s="1" t="s">
        <v>240</v>
      </c>
      <c r="E169" s="32">
        <v>0.33333333333333331</v>
      </c>
      <c r="F169" s="1" t="s">
        <v>394</v>
      </c>
    </row>
    <row r="170" spans="1:6" ht="17" x14ac:dyDescent="0.4">
      <c r="A170" s="24" t="str">
        <f>_xlfn.XLOOKUP(B170,表格1[ID],表格1[Dish])</f>
        <v>洋葱豬排</v>
      </c>
      <c r="B170" s="1" t="s">
        <v>148</v>
      </c>
      <c r="C170" s="9" t="s">
        <v>333</v>
      </c>
      <c r="D170" s="1" t="s">
        <v>242</v>
      </c>
      <c r="E170" s="1">
        <v>1</v>
      </c>
      <c r="F170" s="1" t="s">
        <v>394</v>
      </c>
    </row>
    <row r="171" spans="1:6" ht="17" x14ac:dyDescent="0.4">
      <c r="A171" s="24" t="str">
        <f>_xlfn.XLOOKUP(B171,表格1[ID],表格1[Dish])</f>
        <v>洋葱豬排</v>
      </c>
      <c r="B171" s="1" t="s">
        <v>148</v>
      </c>
      <c r="C171" s="9" t="s">
        <v>333</v>
      </c>
      <c r="D171" s="1" t="s">
        <v>434</v>
      </c>
      <c r="E171" s="1">
        <v>1</v>
      </c>
      <c r="F171" s="1" t="s">
        <v>1164</v>
      </c>
    </row>
    <row r="172" spans="1:6" ht="17" x14ac:dyDescent="0.4">
      <c r="A172" s="24" t="str">
        <f>_xlfn.XLOOKUP(B172,表格1[ID],表格1[Dish])</f>
        <v>洋葱豬排</v>
      </c>
      <c r="B172" s="30" t="s">
        <v>148</v>
      </c>
      <c r="C172" s="9" t="s">
        <v>333</v>
      </c>
      <c r="D172" s="30" t="s">
        <v>1129</v>
      </c>
      <c r="E172" s="30">
        <v>1</v>
      </c>
      <c r="F172" s="30" t="s">
        <v>394</v>
      </c>
    </row>
    <row r="173" spans="1:6" ht="17" x14ac:dyDescent="0.4">
      <c r="A173" s="24" t="str">
        <f>_xlfn.XLOOKUP(B173,表格1[ID],表格1[Dish])</f>
        <v>洋葱豬排</v>
      </c>
      <c r="B173" s="30" t="s">
        <v>148</v>
      </c>
      <c r="C173" s="9" t="s">
        <v>333</v>
      </c>
      <c r="D173" s="30" t="s">
        <v>316</v>
      </c>
      <c r="E173" s="33">
        <v>0.33333333333333331</v>
      </c>
      <c r="F173" s="30" t="s">
        <v>394</v>
      </c>
    </row>
    <row r="174" spans="1:6" ht="17" x14ac:dyDescent="0.4">
      <c r="A174" s="24" t="str">
        <f>_xlfn.XLOOKUP(B174,表格1[ID],表格1[Dish])</f>
        <v>洋葱豬排</v>
      </c>
      <c r="B174" s="30" t="s">
        <v>148</v>
      </c>
      <c r="C174" s="9" t="s">
        <v>333</v>
      </c>
      <c r="D174" s="30" t="s">
        <v>244</v>
      </c>
      <c r="E174" s="30">
        <v>1</v>
      </c>
      <c r="F174" s="30" t="s">
        <v>1164</v>
      </c>
    </row>
    <row r="175" spans="1:6" ht="17" x14ac:dyDescent="0.4">
      <c r="A175" s="24" t="str">
        <f>_xlfn.XLOOKUP(B175,表格1[ID],表格1[Dish])</f>
        <v>洋葱豬排</v>
      </c>
      <c r="B175" s="30" t="s">
        <v>148</v>
      </c>
      <c r="C175" s="9" t="s">
        <v>333</v>
      </c>
      <c r="D175" s="30" t="s">
        <v>1143</v>
      </c>
      <c r="E175" s="30">
        <v>1</v>
      </c>
      <c r="F175" s="30" t="s">
        <v>1164</v>
      </c>
    </row>
    <row r="176" spans="1:6" ht="17" x14ac:dyDescent="0.4">
      <c r="A176" s="24" t="str">
        <f>_xlfn.XLOOKUP(B176,表格1[ID],表格1[Dish])</f>
        <v>洋葱豬排</v>
      </c>
      <c r="B176" s="30" t="s">
        <v>148</v>
      </c>
      <c r="C176" s="29" t="s">
        <v>1147</v>
      </c>
      <c r="D176" s="31" t="s">
        <v>434</v>
      </c>
      <c r="E176" s="30">
        <v>1</v>
      </c>
      <c r="F176" s="30" t="s">
        <v>1165</v>
      </c>
    </row>
    <row r="177" spans="1:6" ht="17" x14ac:dyDescent="0.4">
      <c r="A177" s="24" t="str">
        <f>_xlfn.XLOOKUP(B177,表格1[ID],表格1[Dish])</f>
        <v>洋葱豬排</v>
      </c>
      <c r="B177" s="30" t="s">
        <v>148</v>
      </c>
      <c r="C177" s="29" t="s">
        <v>1148</v>
      </c>
      <c r="D177" s="31" t="s">
        <v>240</v>
      </c>
      <c r="E177" s="33">
        <v>0.33333333333333331</v>
      </c>
      <c r="F177" s="30" t="s">
        <v>394</v>
      </c>
    </row>
    <row r="178" spans="1:6" ht="17" x14ac:dyDescent="0.4">
      <c r="A178" s="24" t="str">
        <f>_xlfn.XLOOKUP(B178,表格1[ID],表格1[Dish])</f>
        <v>洋葱豬排</v>
      </c>
      <c r="B178" s="30" t="s">
        <v>148</v>
      </c>
      <c r="C178" s="29" t="s">
        <v>1148</v>
      </c>
      <c r="D178" s="31" t="s">
        <v>242</v>
      </c>
      <c r="E178" s="30">
        <v>1</v>
      </c>
      <c r="F178" s="30" t="s">
        <v>394</v>
      </c>
    </row>
    <row r="179" spans="1:6" ht="17" x14ac:dyDescent="0.4">
      <c r="A179" s="24" t="str">
        <f>_xlfn.XLOOKUP(B179,表格1[ID],表格1[Dish])</f>
        <v>洋葱豬排</v>
      </c>
      <c r="B179" s="30" t="s">
        <v>148</v>
      </c>
      <c r="C179" s="29" t="s">
        <v>1148</v>
      </c>
      <c r="D179" s="30" t="s">
        <v>1149</v>
      </c>
      <c r="E179" s="30">
        <v>3</v>
      </c>
      <c r="F179" s="30" t="s">
        <v>1165</v>
      </c>
    </row>
    <row r="180" spans="1:6" ht="17" x14ac:dyDescent="0.4">
      <c r="A180" s="24" t="str">
        <f>_xlfn.XLOOKUP(B180,表格1[ID],表格1[Dish])</f>
        <v>洋葱豬排</v>
      </c>
      <c r="B180" s="30" t="s">
        <v>148</v>
      </c>
      <c r="C180" s="29" t="s">
        <v>1148</v>
      </c>
      <c r="D180" s="30" t="s">
        <v>1151</v>
      </c>
      <c r="E180" s="30">
        <v>1</v>
      </c>
      <c r="F180" s="30" t="s">
        <v>1165</v>
      </c>
    </row>
    <row r="181" spans="1:6" ht="17" x14ac:dyDescent="0.4">
      <c r="A181" s="24" t="str">
        <f>_xlfn.XLOOKUP(B181,表格1[ID],表格1[Dish])</f>
        <v>洋葱豬排</v>
      </c>
      <c r="B181" s="1" t="s">
        <v>148</v>
      </c>
      <c r="C181" s="29" t="s">
        <v>1148</v>
      </c>
      <c r="D181" s="30" t="s">
        <v>434</v>
      </c>
      <c r="E181" s="30">
        <v>1</v>
      </c>
      <c r="F181" s="30" t="s">
        <v>1165</v>
      </c>
    </row>
    <row r="182" spans="1:6" ht="17" x14ac:dyDescent="0.4">
      <c r="A182" s="24" t="str">
        <f>_xlfn.XLOOKUP(B182,表格1[ID],表格1[Dish])</f>
        <v>洋葱豬排</v>
      </c>
      <c r="B182" s="1" t="s">
        <v>148</v>
      </c>
      <c r="C182" s="29" t="s">
        <v>1148</v>
      </c>
      <c r="D182" s="1" t="s">
        <v>341</v>
      </c>
      <c r="E182" s="32">
        <v>0.33333333333333331</v>
      </c>
      <c r="F182" s="1" t="s">
        <v>394</v>
      </c>
    </row>
    <row r="183" spans="1:6" x14ac:dyDescent="0.4">
      <c r="A183" s="24" t="str">
        <f>_xlfn.XLOOKUP(B183,表格1[ID],表格1[Dish])</f>
        <v>甜椒櫛瓜味噌豬五花</v>
      </c>
      <c r="B183" s="1" t="s">
        <v>729</v>
      </c>
      <c r="C183" s="1" t="s">
        <v>332</v>
      </c>
      <c r="D183" s="1" t="s">
        <v>867</v>
      </c>
      <c r="E183" s="25">
        <v>200</v>
      </c>
      <c r="F183" s="1" t="s">
        <v>275</v>
      </c>
    </row>
    <row r="184" spans="1:6" ht="17" x14ac:dyDescent="0.4">
      <c r="A184" s="24" t="str">
        <f>_xlfn.XLOOKUP(B184,表格1[ID],表格1[Dish])</f>
        <v>甜椒櫛瓜味噌豬五花</v>
      </c>
      <c r="B184" s="1" t="s">
        <v>729</v>
      </c>
      <c r="C184" s="1" t="s">
        <v>332</v>
      </c>
      <c r="D184" s="1" t="s">
        <v>1154</v>
      </c>
      <c r="E184" s="25">
        <v>1</v>
      </c>
      <c r="F184" s="2" t="s">
        <v>850</v>
      </c>
    </row>
    <row r="185" spans="1:6" ht="17" x14ac:dyDescent="0.4">
      <c r="A185" s="24" t="str">
        <f>_xlfn.XLOOKUP(B185,表格1[ID],表格1[Dish])</f>
        <v>甜椒櫛瓜味噌豬五花</v>
      </c>
      <c r="B185" s="1" t="s">
        <v>729</v>
      </c>
      <c r="C185" s="1" t="s">
        <v>332</v>
      </c>
      <c r="D185" s="1" t="s">
        <v>1156</v>
      </c>
      <c r="E185" s="25">
        <v>1</v>
      </c>
      <c r="F185" s="2" t="s">
        <v>320</v>
      </c>
    </row>
    <row r="186" spans="1:6" ht="17" x14ac:dyDescent="0.4">
      <c r="A186" s="24" t="str">
        <f>_xlfn.XLOOKUP(B186,表格1[ID],表格1[Dish])</f>
        <v>甜椒櫛瓜味噌豬五花</v>
      </c>
      <c r="B186" s="1" t="s">
        <v>729</v>
      </c>
      <c r="C186" s="1" t="s">
        <v>333</v>
      </c>
      <c r="D186" s="1" t="s">
        <v>1158</v>
      </c>
      <c r="E186" s="25">
        <v>1</v>
      </c>
      <c r="F186" s="2" t="s">
        <v>287</v>
      </c>
    </row>
    <row r="187" spans="1:6" ht="17" x14ac:dyDescent="0.4">
      <c r="A187" s="24" t="str">
        <f>_xlfn.XLOOKUP(B187,表格1[ID],表格1[Dish])</f>
        <v>甜椒櫛瓜味噌豬五花</v>
      </c>
      <c r="B187" s="1" t="s">
        <v>729</v>
      </c>
      <c r="C187" s="1" t="s">
        <v>333</v>
      </c>
      <c r="D187" s="1" t="s">
        <v>872</v>
      </c>
      <c r="E187" s="25">
        <v>1</v>
      </c>
      <c r="F187" s="2" t="s">
        <v>287</v>
      </c>
    </row>
    <row r="188" spans="1:6" ht="17" x14ac:dyDescent="0.4">
      <c r="A188" s="24" t="str">
        <f>_xlfn.XLOOKUP(B188,表格1[ID],表格1[Dish])</f>
        <v>甜椒櫛瓜味噌豬五花</v>
      </c>
      <c r="B188" s="1" t="s">
        <v>729</v>
      </c>
      <c r="C188" s="1" t="s">
        <v>333</v>
      </c>
      <c r="D188" s="1" t="s">
        <v>1160</v>
      </c>
      <c r="E188" s="25">
        <v>1</v>
      </c>
      <c r="F188" s="2" t="s">
        <v>287</v>
      </c>
    </row>
    <row r="189" spans="1:6" ht="17" x14ac:dyDescent="0.4">
      <c r="A189" s="24" t="str">
        <f>_xlfn.XLOOKUP(B189,表格1[ID],表格1[Dish])</f>
        <v>甜椒櫛瓜味噌豬五花</v>
      </c>
      <c r="B189" s="1" t="s">
        <v>729</v>
      </c>
      <c r="C189" s="1" t="s">
        <v>333</v>
      </c>
      <c r="D189" s="1" t="s">
        <v>242</v>
      </c>
      <c r="E189" s="25">
        <v>1</v>
      </c>
      <c r="F189" s="2" t="s">
        <v>248</v>
      </c>
    </row>
    <row r="190" spans="1:6" ht="17" x14ac:dyDescent="0.4">
      <c r="A190" s="24" t="str">
        <f>_xlfn.XLOOKUP(B190,表格1[ID],表格1[Dish])</f>
        <v>塔香野菇炒粟米仔</v>
      </c>
      <c r="B190" s="1" t="s">
        <v>796</v>
      </c>
      <c r="C190" s="1" t="s">
        <v>332</v>
      </c>
      <c r="D190" s="1" t="s">
        <v>1170</v>
      </c>
      <c r="E190" s="25">
        <v>1</v>
      </c>
      <c r="F190" s="2" t="s">
        <v>1089</v>
      </c>
    </row>
    <row r="191" spans="1:6" ht="17" x14ac:dyDescent="0.4">
      <c r="A191" s="24" t="str">
        <f>_xlfn.XLOOKUP(B191,表格1[ID],表格1[Dish])</f>
        <v>塔香野菇炒粟米仔</v>
      </c>
      <c r="B191" s="1" t="s">
        <v>796</v>
      </c>
      <c r="C191" s="1" t="s">
        <v>332</v>
      </c>
      <c r="D191" s="1" t="s">
        <v>1172</v>
      </c>
      <c r="E191" s="27" t="s">
        <v>1177</v>
      </c>
      <c r="F191" s="2" t="s">
        <v>320</v>
      </c>
    </row>
    <row r="192" spans="1:6" ht="17" x14ac:dyDescent="0.4">
      <c r="A192" s="24" t="str">
        <f>_xlfn.XLOOKUP(B192,表格1[ID],表格1[Dish])</f>
        <v>塔香野菇炒粟米仔</v>
      </c>
      <c r="B192" s="1" t="s">
        <v>796</v>
      </c>
      <c r="C192" s="1" t="s">
        <v>332</v>
      </c>
      <c r="D192" s="1" t="s">
        <v>1174</v>
      </c>
      <c r="E192" s="25">
        <v>1</v>
      </c>
      <c r="F192" s="2" t="s">
        <v>1178</v>
      </c>
    </row>
    <row r="193" spans="1:6" ht="17" x14ac:dyDescent="0.4">
      <c r="A193" s="24" t="str">
        <f>_xlfn.XLOOKUP(B193,表格1[ID],表格1[Dish])</f>
        <v>塔香野菇炒粟米仔</v>
      </c>
      <c r="B193" s="1" t="s">
        <v>796</v>
      </c>
      <c r="C193" s="1" t="s">
        <v>333</v>
      </c>
      <c r="D193" s="1" t="s">
        <v>338</v>
      </c>
      <c r="E193" s="25">
        <v>1</v>
      </c>
      <c r="F193" s="2" t="s">
        <v>248</v>
      </c>
    </row>
    <row r="194" spans="1:6" ht="17" x14ac:dyDescent="0.4">
      <c r="A194" s="24" t="str">
        <f>_xlfn.XLOOKUP(B194,表格1[ID],表格1[Dish])</f>
        <v>塔香野菇炒粟米仔</v>
      </c>
      <c r="B194" s="1" t="s">
        <v>796</v>
      </c>
      <c r="C194" s="1" t="s">
        <v>333</v>
      </c>
      <c r="D194" s="1" t="s">
        <v>417</v>
      </c>
      <c r="E194" s="25">
        <v>1</v>
      </c>
      <c r="F194" s="2" t="s">
        <v>287</v>
      </c>
    </row>
    <row r="195" spans="1:6" ht="17" x14ac:dyDescent="0.4">
      <c r="A195" s="24" t="str">
        <f>_xlfn.XLOOKUP(B195,表格1[ID],表格1[Dish])</f>
        <v>洋蔥炒豬肉</v>
      </c>
      <c r="B195" s="1" t="s">
        <v>727</v>
      </c>
      <c r="C195" s="1" t="s">
        <v>332</v>
      </c>
      <c r="D195" s="1" t="s">
        <v>877</v>
      </c>
      <c r="E195" s="25">
        <v>1</v>
      </c>
      <c r="F195" s="2" t="s">
        <v>850</v>
      </c>
    </row>
    <row r="196" spans="1:6" x14ac:dyDescent="0.4">
      <c r="A196" s="24" t="str">
        <f>_xlfn.XLOOKUP(B196,表格1[ID],表格1[Dish])</f>
        <v>洋蔥炒豬肉</v>
      </c>
      <c r="B196" s="1" t="s">
        <v>727</v>
      </c>
      <c r="C196" s="1" t="s">
        <v>332</v>
      </c>
      <c r="D196" s="1" t="s">
        <v>867</v>
      </c>
      <c r="E196" s="25">
        <v>200</v>
      </c>
      <c r="F196" s="1" t="s">
        <v>275</v>
      </c>
    </row>
    <row r="197" spans="1:6" ht="17" x14ac:dyDescent="0.4">
      <c r="A197" s="24" t="str">
        <f>_xlfn.XLOOKUP(B197,表格1[ID],表格1[Dish])</f>
        <v>洋蔥炒豬肉</v>
      </c>
      <c r="B197" s="1" t="s">
        <v>727</v>
      </c>
      <c r="C197" s="1" t="s">
        <v>333</v>
      </c>
      <c r="D197" s="1" t="s">
        <v>434</v>
      </c>
      <c r="E197" s="25">
        <v>1</v>
      </c>
      <c r="F197" s="2" t="s">
        <v>287</v>
      </c>
    </row>
    <row r="198" spans="1:6" ht="17" x14ac:dyDescent="0.4">
      <c r="A198" s="24" t="str">
        <f>_xlfn.XLOOKUP(B198,表格1[ID],表格1[Dish])</f>
        <v>洋蔥炒豬肉</v>
      </c>
      <c r="B198" s="1" t="s">
        <v>727</v>
      </c>
      <c r="C198" s="1" t="s">
        <v>333</v>
      </c>
      <c r="D198" s="1" t="s">
        <v>872</v>
      </c>
      <c r="E198" s="25">
        <v>1</v>
      </c>
      <c r="F198" s="2" t="s">
        <v>287</v>
      </c>
    </row>
    <row r="199" spans="1:6" ht="17" x14ac:dyDescent="0.4">
      <c r="A199" s="24" t="str">
        <f>_xlfn.XLOOKUP(B199,表格1[ID],表格1[Dish])</f>
        <v>蕃茄炒蛋</v>
      </c>
      <c r="B199" s="1" t="s">
        <v>539</v>
      </c>
      <c r="C199" s="1" t="s">
        <v>332</v>
      </c>
      <c r="D199" s="1" t="s">
        <v>308</v>
      </c>
      <c r="E199" s="25">
        <v>1</v>
      </c>
      <c r="F199" s="2" t="s">
        <v>228</v>
      </c>
    </row>
    <row r="200" spans="1:6" ht="17" x14ac:dyDescent="0.4">
      <c r="A200" s="24" t="str">
        <f>_xlfn.XLOOKUP(B200,表格1[ID],表格1[Dish])</f>
        <v>蕃茄炒蛋</v>
      </c>
      <c r="B200" s="1" t="s">
        <v>539</v>
      </c>
      <c r="C200" s="1" t="s">
        <v>332</v>
      </c>
      <c r="D200" s="1" t="s">
        <v>227</v>
      </c>
      <c r="E200" s="25">
        <v>3</v>
      </c>
      <c r="F200" s="2" t="s">
        <v>228</v>
      </c>
    </row>
    <row r="201" spans="1:6" ht="17" x14ac:dyDescent="0.4">
      <c r="A201" s="24" t="str">
        <f>_xlfn.XLOOKUP(B201,表格1[ID],表格1[Dish])</f>
        <v>蕃茄炒蛋</v>
      </c>
      <c r="B201" s="1" t="s">
        <v>539</v>
      </c>
      <c r="C201" s="1" t="s">
        <v>333</v>
      </c>
      <c r="D201" s="1" t="s">
        <v>1149</v>
      </c>
      <c r="E201" s="25">
        <v>2</v>
      </c>
      <c r="F201" s="2" t="s">
        <v>287</v>
      </c>
    </row>
    <row r="202" spans="1:6" ht="17" x14ac:dyDescent="0.4">
      <c r="A202" s="24" t="str">
        <f>_xlfn.XLOOKUP(B202,表格1[ID],表格1[Dish])</f>
        <v>蕃茄炒蛋</v>
      </c>
      <c r="B202" s="1" t="s">
        <v>539</v>
      </c>
      <c r="C202" s="1" t="s">
        <v>333</v>
      </c>
      <c r="D202" s="1" t="s">
        <v>434</v>
      </c>
      <c r="E202" s="25">
        <v>1</v>
      </c>
      <c r="F202" s="2" t="s">
        <v>248</v>
      </c>
    </row>
    <row r="203" spans="1:6" ht="17" x14ac:dyDescent="0.4">
      <c r="A203" s="24" t="str">
        <f>_xlfn.XLOOKUP(B203,表格1[ID],表格1[Dish])</f>
        <v>蕃茄炒蛋</v>
      </c>
      <c r="B203" s="1" t="s">
        <v>539</v>
      </c>
      <c r="C203" s="1" t="s">
        <v>333</v>
      </c>
      <c r="D203" s="1" t="s">
        <v>242</v>
      </c>
      <c r="E203" s="25">
        <v>1</v>
      </c>
      <c r="F203" s="2" t="s">
        <v>248</v>
      </c>
    </row>
    <row r="204" spans="1:6" ht="17" x14ac:dyDescent="0.4">
      <c r="A204" s="24" t="str">
        <f>_xlfn.XLOOKUP(B204,表格1[ID],表格1[Dish])</f>
        <v>牛丼</v>
      </c>
      <c r="B204" s="1" t="s">
        <v>168</v>
      </c>
      <c r="C204" s="1" t="s">
        <v>332</v>
      </c>
      <c r="D204" s="1" t="s">
        <v>1187</v>
      </c>
      <c r="E204" s="25">
        <v>1</v>
      </c>
      <c r="F204" s="2" t="s">
        <v>692</v>
      </c>
    </row>
    <row r="205" spans="1:6" ht="17" x14ac:dyDescent="0.4">
      <c r="A205" s="24" t="str">
        <f>_xlfn.XLOOKUP(B205,表格1[ID],表格1[Dish])</f>
        <v>牛丼</v>
      </c>
      <c r="B205" s="1" t="s">
        <v>168</v>
      </c>
      <c r="C205" s="1" t="s">
        <v>332</v>
      </c>
      <c r="D205" s="1" t="s">
        <v>877</v>
      </c>
      <c r="E205" s="25">
        <v>1</v>
      </c>
      <c r="F205" s="2" t="s">
        <v>850</v>
      </c>
    </row>
    <row r="206" spans="1:6" x14ac:dyDescent="0.4">
      <c r="A206" s="24" t="str">
        <f>_xlfn.XLOOKUP(B206,表格1[ID],表格1[Dish])</f>
        <v>牛丼</v>
      </c>
      <c r="B206" s="1" t="s">
        <v>168</v>
      </c>
      <c r="C206" s="1" t="s">
        <v>333</v>
      </c>
      <c r="D206" s="1" t="s">
        <v>434</v>
      </c>
      <c r="E206" s="25">
        <v>30</v>
      </c>
      <c r="F206" s="1" t="s">
        <v>247</v>
      </c>
    </row>
    <row r="207" spans="1:6" x14ac:dyDescent="0.4">
      <c r="A207" s="24" t="str">
        <f>_xlfn.XLOOKUP(B207,表格1[ID],表格1[Dish])</f>
        <v>牛丼</v>
      </c>
      <c r="B207" s="1" t="s">
        <v>168</v>
      </c>
      <c r="C207" s="1" t="s">
        <v>333</v>
      </c>
      <c r="D207" s="1" t="s">
        <v>242</v>
      </c>
      <c r="E207" s="25">
        <v>25</v>
      </c>
      <c r="F207" s="1" t="s">
        <v>275</v>
      </c>
    </row>
    <row r="208" spans="1:6" x14ac:dyDescent="0.4">
      <c r="A208" s="24" t="str">
        <f>_xlfn.XLOOKUP(B208,表格1[ID],表格1[Dish])</f>
        <v>牛丼</v>
      </c>
      <c r="B208" s="1" t="s">
        <v>168</v>
      </c>
      <c r="C208" s="1" t="s">
        <v>333</v>
      </c>
      <c r="D208" s="1" t="s">
        <v>872</v>
      </c>
      <c r="E208" s="25">
        <v>30</v>
      </c>
      <c r="F208" s="1" t="s">
        <v>247</v>
      </c>
    </row>
    <row r="209" spans="1:6" x14ac:dyDescent="0.4">
      <c r="A209" s="24" t="str">
        <f>_xlfn.XLOOKUP(B209,表格1[ID],表格1[Dish])</f>
        <v>牛丼</v>
      </c>
      <c r="B209" s="1" t="s">
        <v>168</v>
      </c>
      <c r="C209" s="1" t="s">
        <v>333</v>
      </c>
      <c r="D209" s="1" t="s">
        <v>1189</v>
      </c>
      <c r="E209" s="25">
        <v>30</v>
      </c>
      <c r="F209" s="1" t="s">
        <v>247</v>
      </c>
    </row>
    <row r="210" spans="1:6" x14ac:dyDescent="0.4">
      <c r="A210" s="24" t="str">
        <f>_xlfn.XLOOKUP(B210,表格1[ID],表格1[Dish])</f>
        <v>牛丼</v>
      </c>
      <c r="B210" s="1" t="s">
        <v>168</v>
      </c>
      <c r="C210" s="1" t="s">
        <v>333</v>
      </c>
      <c r="D210" s="1" t="s">
        <v>237</v>
      </c>
      <c r="E210" s="25">
        <v>20</v>
      </c>
      <c r="F210" s="1" t="s">
        <v>247</v>
      </c>
    </row>
  </sheetData>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4A8E99-0786-4C0C-BDAA-C2E4BEB200D7}">
          <x14:formula1>
            <xm:f>材料庫!$A:$A</xm:f>
          </x14:formula1>
          <xm:sqref>D1:D175 D179:D1048576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7E3D-8CBE-4470-86D8-478F6834C272}">
  <dimension ref="A1:G102"/>
  <sheetViews>
    <sheetView topLeftCell="D88" workbookViewId="0">
      <selection activeCell="D97" sqref="D97"/>
    </sheetView>
  </sheetViews>
  <sheetFormatPr defaultRowHeight="15.5" x14ac:dyDescent="0.4"/>
  <cols>
    <col min="1" max="1" width="21.81640625" style="1" bestFit="1" customWidth="1"/>
    <col min="2" max="3" width="8.7265625" style="1"/>
    <col min="4" max="4" width="97.1796875" style="1" bestFit="1" customWidth="1"/>
    <col min="5" max="5" width="57.54296875" style="1" customWidth="1"/>
    <col min="6" max="6" width="53.6328125" style="1" customWidth="1"/>
    <col min="7" max="7" width="56.54296875" style="1" customWidth="1"/>
    <col min="8" max="16384" width="8.7265625" style="1"/>
  </cols>
  <sheetData>
    <row r="1" spans="1:7" ht="17" x14ac:dyDescent="0.4">
      <c r="A1" s="21" t="s">
        <v>861</v>
      </c>
      <c r="B1" s="8" t="s">
        <v>262</v>
      </c>
      <c r="C1" s="8" t="s">
        <v>276</v>
      </c>
      <c r="D1" s="8" t="s">
        <v>277</v>
      </c>
      <c r="E1" s="8" t="s">
        <v>858</v>
      </c>
      <c r="F1" s="8" t="s">
        <v>859</v>
      </c>
      <c r="G1" s="8" t="s">
        <v>860</v>
      </c>
    </row>
    <row r="2" spans="1:7" ht="17" x14ac:dyDescent="0.4">
      <c r="A2" s="28" t="str">
        <f>_xlfn.XLOOKUP(B2,表格1[ID],表格1[Dish])</f>
        <v>椰青木瓜果凍</v>
      </c>
      <c r="B2" s="1" t="s">
        <v>217</v>
      </c>
      <c r="C2" s="1">
        <v>1</v>
      </c>
      <c r="D2" s="1" t="s">
        <v>278</v>
      </c>
      <c r="E2" s="1" t="str">
        <f>_xlfn.TRANSLATE(Steps[[#This Row],[內容]],"zh-cht","en")</f>
        <v>Cut the papaya in half, remove the seeds in the middle, and make a papaya cup</v>
      </c>
      <c r="F2" s="1" t="str">
        <f>_xlfn.TRANSLATE(Steps[[#This Row],[內容]],"zh-cht","fil")</f>
        <v>Hatiin ang papaya sa gitna, alisin ang mga buto sa gitna, at gumawa ng tasa ng papaya</v>
      </c>
      <c r="G2" s="1" t="str">
        <f>_xlfn.TRANSLATE(Steps[[#This Row],[內容]],"zh-cht","id")</f>
        <v>Belah pepaya menjadi dua, keluarkan biji di tengah, dan buat cangkir pepaya</v>
      </c>
    </row>
    <row r="3" spans="1:7" ht="17" x14ac:dyDescent="0.4">
      <c r="A3" s="28" t="str">
        <f>_xlfn.XLOOKUP(B3,表格1[ID],表格1[Dish])</f>
        <v>椰青木瓜果凍</v>
      </c>
      <c r="B3" s="1" t="s">
        <v>217</v>
      </c>
      <c r="C3" s="1">
        <v>2</v>
      </c>
      <c r="D3" s="1" t="s">
        <v>364</v>
      </c>
      <c r="E3" s="1" t="str">
        <f>_xlfn.TRANSLATE(Steps[[#This Row],[內容]],"zh-cht","en")</f>
        <v>Mix the coconut water, coconut milk, milk, and sugar, add the vegetable powder, cook until the sugar dissolves, then let cool</v>
      </c>
      <c r="F3" s="1" t="str">
        <f>_xlfn.TRANSLATE(Steps[[#This Row],[內容]],"zh-cht","fil")</f>
        <v>Haluin ang tubig ng niyog, gatas ng niyog, gatas, at asukal, idagdag ang pulbos ng gulay, lutuin hanggang matunaw ang asukal, pagkatapos ay palamigin</v>
      </c>
      <c r="G3" s="1" t="str">
        <f>_xlfn.TRANSLATE(Steps[[#This Row],[內容]],"zh-cht","id")</f>
        <v>Campur air kelapa, santan, susu, dan gula, tambahkan bubuk sayuran, masak sampai gula larut, lalu biarkan dingin</v>
      </c>
    </row>
    <row r="4" spans="1:7" ht="17" x14ac:dyDescent="0.4">
      <c r="A4" s="28" t="str">
        <f>_xlfn.XLOOKUP(B4,表格1[ID],表格1[Dish])</f>
        <v>椰青木瓜果凍</v>
      </c>
      <c r="B4" s="1" t="s">
        <v>217</v>
      </c>
      <c r="C4" s="1">
        <v>3</v>
      </c>
      <c r="D4" s="1" t="s">
        <v>365</v>
      </c>
      <c r="E4" s="1" t="str">
        <f>_xlfn.TRANSLATE(Steps[[#This Row],[內容]],"zh-cht","en")</f>
        <v>Pour into a papaya cup and refrigerate until set</v>
      </c>
      <c r="F4" s="1" t="str">
        <f>_xlfn.TRANSLATE(Steps[[#This Row],[內容]],"zh-cht","fil")</f>
        <v>Ibuhos sa isang tasa ng papaya at ilagay sa refrigerator hanggang tumigas</v>
      </c>
      <c r="G4" s="1" t="str">
        <f>_xlfn.TRANSLATE(Steps[[#This Row],[內容]],"zh-cht","id")</f>
        <v>Tuang ke dalam cangkir pepaya dan simpan di kulkas hingga mengeras</v>
      </c>
    </row>
    <row r="5" spans="1:7" ht="17" x14ac:dyDescent="0.4">
      <c r="A5" s="28" t="str">
        <f>_xlfn.XLOOKUP(B5,表格1[ID],表格1[Dish])</f>
        <v>椰青木瓜果凍</v>
      </c>
      <c r="B5" s="1" t="s">
        <v>217</v>
      </c>
      <c r="C5" s="1">
        <v>4</v>
      </c>
      <c r="D5" s="1" t="s">
        <v>366</v>
      </c>
      <c r="E5" s="1" t="str">
        <f>_xlfn.TRANSLATE(Steps[[#This Row],[內容]],"zh-cht","en")</f>
        <v>When eating, just cut it into small pieces</v>
      </c>
      <c r="F5" s="1" t="str">
        <f>_xlfn.TRANSLATE(Steps[[#This Row],[內容]],"zh-cht","fil")</f>
        <v>Kapag kumakain, hiwain lang ito sa maliliit na piraso</v>
      </c>
      <c r="G5" s="1" t="str">
        <f>_xlfn.TRANSLATE(Steps[[#This Row],[內容]],"zh-cht","id")</f>
        <v>Saat makan, cukup potong menjadi potongan kecil</v>
      </c>
    </row>
    <row r="6" spans="1:7" ht="17" x14ac:dyDescent="0.4">
      <c r="A6" s="20" t="str">
        <f>_xlfn.XLOOKUP(B6,表格1[ID],表格1[Dish])</f>
        <v>紫薯布甸</v>
      </c>
      <c r="B6" s="1" t="s">
        <v>209</v>
      </c>
      <c r="C6" s="1">
        <v>1</v>
      </c>
      <c r="D6" s="1" t="s">
        <v>288</v>
      </c>
      <c r="E6" s="1" t="str">
        <f>_xlfn.TRANSLATE(Steps[[#This Row],[內容]],"zh-cht","en")</f>
        <v>Steam, peel the purple-fleshed sweet potatoes, and mash them with a knife</v>
      </c>
      <c r="F6" s="1" t="str">
        <f>_xlfn.TRANSLATE(Steps[[#This Row],[內容]],"zh-cht","fil")</f>
        <v>I-steam, balatan ang mga kamote na may lila na laman, at durugin gamit ang kutsilyo</v>
      </c>
      <c r="G6" s="1" t="str">
        <f>_xlfn.TRANSLATE(Steps[[#This Row],[內容]],"zh-cht","id")</f>
        <v>Kukus, kupas ubi jalar berisi ungu, lalu tumbuk dengan pisau</v>
      </c>
    </row>
    <row r="7" spans="1:7" ht="17" x14ac:dyDescent="0.4">
      <c r="A7" s="20" t="str">
        <f>_xlfn.XLOOKUP(B7,表格1[ID],表格1[Dish])</f>
        <v>紫薯布甸</v>
      </c>
      <c r="B7" s="1" t="s">
        <v>209</v>
      </c>
      <c r="C7" s="1">
        <v>2</v>
      </c>
      <c r="D7" s="1" t="s">
        <v>367</v>
      </c>
      <c r="E7" s="1" t="str">
        <f>_xlfn.TRANSLATE(Steps[[#This Row],[內容]],"zh-cht","en")</f>
        <v>Add 150ML of milk to the purple sweet potato puree, then put it in a blender and mix well</v>
      </c>
      <c r="F7" s="1" t="str">
        <f>_xlfn.TRANSLATE(Steps[[#This Row],[內容]],"zh-cht","fil")</f>
        <v>Idagdag ang 150ML ng gatas sa purple sweet potato puree, pagkatapos ilagay sa blender at haluin nang mabuti</v>
      </c>
      <c r="G7" s="1" t="str">
        <f>_xlfn.TRANSLATE(Steps[[#This Row],[內容]],"zh-cht","id")</f>
        <v>Tambahkan 150ML susu ke pure ubi jalar ungu, lalu masukkan ke blender dan aduk rata</v>
      </c>
    </row>
    <row r="8" spans="1:7" ht="17" x14ac:dyDescent="0.4">
      <c r="A8" s="20" t="str">
        <f>_xlfn.XLOOKUP(B8,表格1[ID],表格1[Dish])</f>
        <v>紫薯布甸</v>
      </c>
      <c r="B8" s="1" t="s">
        <v>209</v>
      </c>
      <c r="C8" s="1">
        <v>3</v>
      </c>
      <c r="D8" s="1" t="s">
        <v>289</v>
      </c>
      <c r="E8" s="1" t="str">
        <f>_xlfn.TRANSLATE(Steps[[#This Row],[內容]],"zh-cht","en")</f>
        <v>Put the remaining milk and cream into a pot and heat over low heat, then add sugar and konjac powder, stirring slowly until completely dissolved</v>
      </c>
      <c r="F8" s="1" t="str">
        <f>_xlfn.TRANSLATE(Steps[[#This Row],[內容]],"zh-cht","fil")</f>
        <v>Ilagay ang natitirang gatas at cream sa palayok at painitin sa mababang init, pagkatapos ay magdagdag ng asukal at konjac powder, dahan-dahang haluin hanggang tuluyang matunaw</v>
      </c>
      <c r="G8" s="1" t="str">
        <f>_xlfn.TRANSLATE(Steps[[#This Row],[內容]],"zh-cht","id")</f>
        <v>Masukkan sisa susu dan krim ke dalam panci dan panaskan dengan api kecil, lalu tambahkan gula dan bubuk konjac, aduk perlahan hingga benar-benar larut</v>
      </c>
    </row>
    <row r="9" spans="1:7" ht="17" x14ac:dyDescent="0.4">
      <c r="A9" s="20" t="str">
        <f>_xlfn.XLOOKUP(B9,表格1[ID],表格1[Dish])</f>
        <v>紫薯布甸</v>
      </c>
      <c r="B9" s="1" t="s">
        <v>209</v>
      </c>
      <c r="C9" s="1">
        <v>4</v>
      </c>
      <c r="D9" s="1" t="s">
        <v>368</v>
      </c>
      <c r="E9" s="1" t="str">
        <f>_xlfn.TRANSLATE(Steps[[#This Row],[內容]],"zh-cht","en")</f>
        <v>After dissolving, gradually add small amounts into the purple sweet potato puree until evenly combined</v>
      </c>
      <c r="F9" s="1" t="str">
        <f>_xlfn.TRANSLATE(Steps[[#This Row],[內容]],"zh-cht","fil")</f>
        <v>Pagkatapos matunaw, dahan-dahang idagdag ang kaunting dami sa purple sweet potato puree hanggang pantay-pantay ang paghahalo</v>
      </c>
      <c r="G9" s="1" t="str">
        <f>_xlfn.TRANSLATE(Steps[[#This Row],[內容]],"zh-cht","id")</f>
        <v>Setelah larut, tambahkan sedikit ke dalam puree ubi jalar ungu hingga tercampur rata</v>
      </c>
    </row>
    <row r="10" spans="1:7" ht="17" x14ac:dyDescent="0.4">
      <c r="A10" s="20" t="str">
        <f>_xlfn.XLOOKUP(B10,表格1[ID],表格1[Dish])</f>
        <v>紫薯布甸</v>
      </c>
      <c r="B10" s="1" t="s">
        <v>209</v>
      </c>
      <c r="C10" s="1">
        <v>5</v>
      </c>
      <c r="D10" s="1" t="s">
        <v>369</v>
      </c>
      <c r="E10" s="1" t="str">
        <f>_xlfn.TRANSLATE(Steps[[#This Row],[內容]],"zh-cht","en")</f>
        <v>Finally, pour it into a pudding cup, close the lid, and refrigerate until set</v>
      </c>
      <c r="F10" s="1" t="str">
        <f>_xlfn.TRANSLATE(Steps[[#This Row],[內容]],"zh-cht","fil")</f>
        <v>Sa huli, ibuhos ito sa pudding cup, isara ang takip, at ilagay sa refrigerator hanggang tumigas</v>
      </c>
      <c r="G10" s="1" t="str">
        <f>_xlfn.TRANSLATE(Steps[[#This Row],[內容]],"zh-cht","id")</f>
        <v>Terakhir, tuangkan ke dalam cangkir puding, tutup tutupnya, dan simpan di kulkas hingga mengeras</v>
      </c>
    </row>
    <row r="11" spans="1:7" ht="17" x14ac:dyDescent="0.4">
      <c r="A11" s="20" t="str">
        <f>_xlfn.XLOOKUP(B11,表格1[ID],表格1[Dish])</f>
        <v>焗葡汁白菌豆腐飯</v>
      </c>
      <c r="B11" s="1" t="s">
        <v>208</v>
      </c>
      <c r="C11" s="1">
        <v>1</v>
      </c>
      <c r="D11" s="1" t="s">
        <v>370</v>
      </c>
      <c r="E11" s="1" t="str">
        <f>_xlfn.TRANSLATE(Steps[[#This Row],[內容]],"zh-cht","en")</f>
        <v>Cut the tofu into cubes, fry until golden brown, then set aside</v>
      </c>
      <c r="F11" s="1" t="str">
        <f>_xlfn.TRANSLATE(Steps[[#This Row],[內容]],"zh-cht","fil")</f>
        <v>Hiwain ang tofu sa mga cube, igisa hanggang maging golden brown, pagkatapos ay itabi</v>
      </c>
      <c r="G11" s="1" t="str">
        <f>_xlfn.TRANSLATE(Steps[[#This Row],[內容]],"zh-cht","id")</f>
        <v>Potong tahu menjadi dadu dadu, goreng hingga keemasan, lalu sisihkan</v>
      </c>
    </row>
    <row r="12" spans="1:7" ht="17" x14ac:dyDescent="0.4">
      <c r="A12" s="20" t="str">
        <f>_xlfn.XLOOKUP(B12,表格1[ID],表格1[Dish])</f>
        <v>焗葡汁白菌豆腐飯</v>
      </c>
      <c r="B12" s="1" t="s">
        <v>208</v>
      </c>
      <c r="C12" s="1">
        <v>2</v>
      </c>
      <c r="D12" s="1" t="s">
        <v>371</v>
      </c>
      <c r="E12" s="1" t="str">
        <f>_xlfn.TRANSLATE(Steps[[#This Row],[內容]],"zh-cht","en")</f>
        <v>Heat a wok over medium heat, add butter, and once melted, add turmeric powder and curry powder and stir-fry until fragrant. Add the superior broth, bring to a boil, then add milk and cream, season with salt and sugar</v>
      </c>
      <c r="F12" s="1" t="str">
        <f>_xlfn.TRANSLATE(Steps[[#This Row],[內容]],"zh-cht","fil")</f>
        <v>Painitin ang wok sa katamtamang init, magdagdag ng mantikilya, at kapag natunaw, idagdag ang turmeric powder at curry powder at igisa hanggang mabango. Idagdag ang superior na sabaw, pakuluan, pagkatapos ay magdagdag ng gatas at cream, timplahan ng asin at asukal</v>
      </c>
      <c r="G12" s="1" t="str">
        <f>_xlfn.TRANSLATE(Steps[[#This Row],[內容]],"zh-cht","id")</f>
        <v>Panaskan wajan di atas api sedang, tambahkan mentega, dan setelah meleleh, tambahkan bubuk kunyit dan bubuk kari lalu tumis hingga harum. Tambahkan kaldu superior, didihkan, lalu tambahkan susu dan krim, bumbui dengan garam dan gula</v>
      </c>
    </row>
    <row r="13" spans="1:7" ht="17" x14ac:dyDescent="0.4">
      <c r="A13" s="20" t="str">
        <f>_xlfn.XLOOKUP(B13,表格1[ID],表格1[Dish])</f>
        <v>焗葡汁白菌豆腐飯</v>
      </c>
      <c r="B13" s="1" t="s">
        <v>208</v>
      </c>
      <c r="C13" s="1">
        <v>3</v>
      </c>
      <c r="D13" s="1" t="s">
        <v>372</v>
      </c>
      <c r="E13" s="1" t="str">
        <f>_xlfn.TRANSLATE(Steps[[#This Row],[內容]],"zh-cht","en")</f>
        <v>Finally, add tofu, slice white mushrooms and coconut milk, then add thickened sauce and cook until thickened</v>
      </c>
      <c r="F13" s="1" t="str">
        <f>_xlfn.TRANSLATE(Steps[[#This Row],[內容]],"zh-cht","fil")</f>
        <v>Sa huli, idagdag ang tofu, hiwain ang puting kabute at gatas ng niyog, pagkatapos ay lagyan ng malapot na sarsa at lutuin hanggang lumapot</v>
      </c>
      <c r="G13" s="1" t="str">
        <f>_xlfn.TRANSLATE(Steps[[#This Row],[內容]],"zh-cht","id")</f>
        <v>Terakhir, tambahkan tahu, iris jamur putih dan santan, lalu tambahkan saus kental dan masak hingga kental</v>
      </c>
    </row>
    <row r="14" spans="1:7" ht="17" x14ac:dyDescent="0.4">
      <c r="A14" s="20" t="str">
        <f>_xlfn.XLOOKUP(B14,表格1[ID],表格1[Dish])</f>
        <v>焗葡汁白菌豆腐飯</v>
      </c>
      <c r="B14" s="1" t="s">
        <v>208</v>
      </c>
      <c r="C14" s="1">
        <v>4</v>
      </c>
      <c r="D14" s="1" t="s">
        <v>373</v>
      </c>
      <c r="E14" s="1" t="str">
        <f>_xlfn.TRANSLATE(Steps[[#This Row],[內容]],"zh-cht","en")</f>
        <v>Place the white rice on a baking dish, then pour the cooked tofu over the rice surface and sprinkle some cheese</v>
      </c>
      <c r="F14" s="1" t="str">
        <f>_xlfn.TRANSLATE(Steps[[#This Row],[內容]],"zh-cht","fil")</f>
        <v>Ilagay ang puting kanin sa isang baking dish, pagkatapos ibuhos ang nilutong tofu sa ibabaw ng kanin at budburan ng kaunting keso</v>
      </c>
      <c r="G14" s="1" t="str">
        <f>_xlfn.TRANSLATE(Steps[[#This Row],[內容]],"zh-cht","id")</f>
        <v>Letakkan nasi putih di atas loyang, lalu tuangkan tahu yang sudah matang di atas permukaan nasi dan taburi sedikit keju</v>
      </c>
    </row>
    <row r="15" spans="1:7" ht="17" x14ac:dyDescent="0.4">
      <c r="A15" s="20" t="str">
        <f>_xlfn.XLOOKUP(B15,表格1[ID],表格1[Dish])</f>
        <v>焗葡汁白菌豆腐飯</v>
      </c>
      <c r="B15" s="1" t="s">
        <v>208</v>
      </c>
      <c r="C15" s="1">
        <v>5</v>
      </c>
      <c r="D15" s="1" t="s">
        <v>374</v>
      </c>
      <c r="E15" s="1" t="str">
        <f>_xlfn.TRANSLATE(Steps[[#This Row],[內容]],"zh-cht","en")</f>
        <v>Preheat the oven to 200°C and bake for about 5-8 minutes to finish</v>
      </c>
      <c r="F15" s="1" t="str">
        <f>_xlfn.TRANSLATE(Steps[[#This Row],[內容]],"zh-cht","fil")</f>
        <v>Painitin ang oven sa 200°C at i-bake ng mga 5-8 minuto para matapos</v>
      </c>
      <c r="G15" s="1" t="str">
        <f>_xlfn.TRANSLATE(Steps[[#This Row],[內容]],"zh-cht","id")</f>
        <v>Panaskan oven pada suhu 200°C dan panggang selama sekitar 5-8 menit untuk selesai</v>
      </c>
    </row>
    <row r="16" spans="1:7" ht="17" x14ac:dyDescent="0.4">
      <c r="A16" s="20" t="str">
        <f>_xlfn.XLOOKUP(B16,表格1[ID],表格1[Dish])</f>
        <v>素羅宋湯</v>
      </c>
      <c r="B16" s="1" t="s">
        <v>207</v>
      </c>
      <c r="C16" s="1">
        <v>1</v>
      </c>
      <c r="D16" s="1" t="s">
        <v>375</v>
      </c>
      <c r="E16" s="1" t="str">
        <f>_xlfn.TRANSLATE(Steps[[#This Row],[內容]],"zh-cht","en")</f>
        <v>After boiling water, add the diced potatoes, diced carrots, peeled and diced tomatoes, and simmer over medium heat</v>
      </c>
      <c r="F16" s="1" t="str">
        <f>_xlfn.TRANSLATE(Steps[[#This Row],[內容]],"zh-cht","fil")</f>
        <v>Pagkatapos pakuluan ang tubig, idagdag ang diced na patatas, diced carrots, balatan at diced na kamatis, at pakuluan sa katamtamang init</v>
      </c>
      <c r="G16" s="1" t="str">
        <f>_xlfn.TRANSLATE(Steps[[#This Row],[內容]],"zh-cht","id")</f>
        <v>Setelah air direbus, tambahkan kentang dadu, wortel dadu, tomat yang dikupas dan dipotong dadu, lalu didihkan dengan api sedang</v>
      </c>
    </row>
    <row r="17" spans="1:7" ht="17" x14ac:dyDescent="0.4">
      <c r="A17" s="20" t="str">
        <f>_xlfn.XLOOKUP(B17,表格1[ID],表格1[Dish])</f>
        <v>素羅宋湯</v>
      </c>
      <c r="B17" s="1" t="s">
        <v>207</v>
      </c>
      <c r="C17" s="1">
        <v>2</v>
      </c>
      <c r="D17" s="1" t="s">
        <v>376</v>
      </c>
      <c r="E17" s="1" t="str">
        <f>_xlfn.TRANSLATE(Steps[[#This Row],[內容]],"zh-cht","en")</f>
        <v>Melt beef fat in a skillet, add thinly sliced mushrooms, and stir-fry until cooked</v>
      </c>
      <c r="F17" s="1" t="str">
        <f>_xlfn.TRANSLATE(Steps[[#This Row],[內容]],"zh-cht","fil")</f>
        <v>Tunawin ang taba ng baka sa kawali, idagdag ang manipis na hiniwang kabute, at igisa hanggang maluto</v>
      </c>
      <c r="G17" s="1" t="str">
        <f>_xlfn.TRANSLATE(Steps[[#This Row],[內容]],"zh-cht","id")</f>
        <v>Lelehkan lemak sapi di wajan, tambahkan jamur iris tipis, dan tumis sampai matang</v>
      </c>
    </row>
    <row r="18" spans="1:7" ht="17" x14ac:dyDescent="0.4">
      <c r="A18" s="20" t="str">
        <f>_xlfn.XLOOKUP(B18,表格1[ID],表格1[Dish])</f>
        <v>素羅宋湯</v>
      </c>
      <c r="B18" s="1" t="s">
        <v>207</v>
      </c>
      <c r="C18" s="1">
        <v>3</v>
      </c>
      <c r="D18" s="1" t="s">
        <v>377</v>
      </c>
      <c r="E18" s="1" t="str">
        <f>_xlfn.TRANSLATE(Steps[[#This Row],[內容]],"zh-cht","en")</f>
        <v>Put the cooked mushrooms into the soup pot</v>
      </c>
      <c r="F18" s="1" t="str">
        <f>_xlfn.TRANSLATE(Steps[[#This Row],[內容]],"zh-cht","fil")</f>
        <v>Ilagay ang nilutong kabute sa palayok ng sopas</v>
      </c>
      <c r="G18" s="1" t="str">
        <f>_xlfn.TRANSLATE(Steps[[#This Row],[內容]],"zh-cht","id")</f>
        <v>Masukkan jamur yang sudah matang ke dalam panci sup</v>
      </c>
    </row>
    <row r="19" spans="1:7" ht="17" x14ac:dyDescent="0.4">
      <c r="A19" s="20" t="str">
        <f>_xlfn.XLOOKUP(B19,表格1[ID],表格1[Dish])</f>
        <v>素羅宋湯</v>
      </c>
      <c r="B19" s="1" t="s">
        <v>207</v>
      </c>
      <c r="C19" s="1">
        <v>4</v>
      </c>
      <c r="D19" s="1" t="s">
        <v>360</v>
      </c>
      <c r="E19" s="1" t="str">
        <f>_xlfn.TRANSLATE(Steps[[#This Row],[內容]],"zh-cht","en")</f>
        <v>Add cabbage, tomato paste, and superior broth. Bring to a boil over medium heat, then simmer on low for 50 minutes. After cooking, add sugar and pepper before serving</v>
      </c>
      <c r="F19" s="1" t="str">
        <f>_xlfn.TRANSLATE(Steps[[#This Row],[內容]],"zh-cht","fil")</f>
        <v>Idagdag ang repolyo, tomato paste, at superior broth. Pakuluan sa katamtamang init, pagkatapos ay pakuluan sa mababang init ng 50 minuto. Pagkatapos lutuin, magdagdag ng asukal at paminta bago ihain</v>
      </c>
      <c r="G19" s="1" t="str">
        <f>_xlfn.TRANSLATE(Steps[[#This Row],[內容]],"zh-cht","id")</f>
        <v>Tambahkan kubis, pasta tomat, dan kaldu superior. Didihkan dengan api sedang, lalu didihkan dengan api kecil selama 50 menit. Setelah memasak, tambahkan gula dan lada sebelum disajikan</v>
      </c>
    </row>
    <row r="20" spans="1:7" ht="17" x14ac:dyDescent="0.4">
      <c r="A20" s="20" t="str">
        <f>_xlfn.XLOOKUP(B20,表格1[ID],表格1[Dish])</f>
        <v>薯仔沙律蛋包</v>
      </c>
      <c r="B20" s="1" t="s">
        <v>206</v>
      </c>
      <c r="C20" s="1">
        <v>1</v>
      </c>
      <c r="D20" s="1" t="s">
        <v>361</v>
      </c>
      <c r="E20" s="1" t="str">
        <f>_xlfn.TRANSLATE(Steps[[#This Row],[內容]],"zh-cht","en")</f>
        <v>After boiling the eggs, chop them. Blanch the broccoli and carrot, then add a little salt and mix the sauce well</v>
      </c>
      <c r="F20" s="1" t="str">
        <f>_xlfn.TRANSLATE(Steps[[#This Row],[內容]],"zh-cht","fil")</f>
        <v>Pagkatapos pakuluan ang mga itlog, tadtarin ang mga ito. I-blanch ang broccoli at karot, pagkatapos ay magdagdag ng kaunting asin at haluin nang mabuti ang sarsa</v>
      </c>
      <c r="G20" s="1" t="str">
        <f>_xlfn.TRANSLATE(Steps[[#This Row],[內容]],"zh-cht","id")</f>
        <v>Setelah telur direbus, cincang. Rebus brokoli dan wortel, lalu tambahkan sedikit garam dan aduk saus rata</v>
      </c>
    </row>
    <row r="21" spans="1:7" ht="17" x14ac:dyDescent="0.4">
      <c r="A21" s="20" t="str">
        <f>_xlfn.XLOOKUP(B21,表格1[ID],表格1[Dish])</f>
        <v>薯仔沙律蛋包</v>
      </c>
      <c r="B21" s="1" t="s">
        <v>206</v>
      </c>
      <c r="C21" s="1">
        <v>2</v>
      </c>
      <c r="D21" s="1" t="s">
        <v>362</v>
      </c>
      <c r="E21" s="1" t="str">
        <f>_xlfn.TRANSLATE(Steps[[#This Row],[內容]],"zh-cht","en")</f>
        <v>Peel and slice the potatoes thinly, steam until cooked, mash, then add chopped egg, broccoli, carrot, and sauce</v>
      </c>
      <c r="F21" s="1" t="str">
        <f>_xlfn.TRANSLATE(Steps[[#This Row],[內容]],"zh-cht","fil")</f>
        <v>Balatan at hiwain nang manipis ang patatas, i-steam hanggang maluto, durugin, pagkatapos ay idagdag ang tinadtad na itlog, broccoli, karot, at sarsa</v>
      </c>
      <c r="G21" s="1" t="str">
        <f>_xlfn.TRANSLATE(Steps[[#This Row],[內容]],"zh-cht","id")</f>
        <v>Kupas dan iris tipis kentang, kukus sampai matang, tumbukkan, lalu tambahkan telur cincang, brokoli, wortel, dan saus</v>
      </c>
    </row>
    <row r="22" spans="1:7" ht="17" x14ac:dyDescent="0.4">
      <c r="A22" s="20" t="str">
        <f>_xlfn.XLOOKUP(B22,表格1[ID],表格1[Dish])</f>
        <v>薯仔沙律蛋包</v>
      </c>
      <c r="B22" s="1" t="s">
        <v>206</v>
      </c>
      <c r="C22" s="1">
        <v>3</v>
      </c>
      <c r="D22" s="1" t="s">
        <v>363</v>
      </c>
      <c r="E22" s="1" t="str">
        <f>_xlfn.TRANSLATE(Steps[[#This Row],[內容]],"zh-cht","en")</f>
        <v>Place it in a pre-cut dinner bag to finish</v>
      </c>
      <c r="F22" s="1" t="str">
        <f>_xlfn.TRANSLATE(Steps[[#This Row],[內容]],"zh-cht","fil")</f>
        <v>Ilagay ito sa pre-cut na dinner bag para tapusin</v>
      </c>
      <c r="G22" s="1" t="str">
        <f>_xlfn.TRANSLATE(Steps[[#This Row],[內容]],"zh-cht","id")</f>
        <v>Masukkan ke dalam kantong makan malam yang sudah dipotong untuk menyelesaikan</v>
      </c>
    </row>
    <row r="23" spans="1:7" x14ac:dyDescent="0.4">
      <c r="A23" s="20" t="str">
        <f>_xlfn.XLOOKUP(B23,表格1[ID],表格1[Dish])</f>
        <v>麻婆豆腐</v>
      </c>
      <c r="B23" s="1" t="s">
        <v>134</v>
      </c>
      <c r="C23" s="1">
        <v>1</v>
      </c>
      <c r="D23" s="10" t="s">
        <v>358</v>
      </c>
      <c r="E23" s="1" t="str">
        <f>_xlfn.TRANSLATE(Steps[[#This Row],[內容]],"zh-cht","en")</f>
        <v>Blanch the tofu in boiling water for 1 minute to remove the flavor.</v>
      </c>
      <c r="F23" s="1" t="str">
        <f>_xlfn.TRANSLATE(Steps[[#This Row],[內容]],"zh-cht","fil")</f>
        <v>I-blanch ang tofu sa kumukulong tubig ng 1 minuto para mawala ang lasa.</v>
      </c>
      <c r="G23" s="1" t="str">
        <f>_xlfn.TRANSLATE(Steps[[#This Row],[內容]],"zh-cht","id")</f>
        <v>Rebus tahu dalam air mendidih selama 1 menit untuk menghilangkan rasa.</v>
      </c>
    </row>
    <row r="24" spans="1:7" ht="17" x14ac:dyDescent="0.4">
      <c r="A24" s="20" t="str">
        <f>_xlfn.XLOOKUP(B24,表格1[ID],表格1[Dish])</f>
        <v>麻婆豆腐</v>
      </c>
      <c r="B24" s="1" t="s">
        <v>134</v>
      </c>
      <c r="C24" s="1">
        <v>2</v>
      </c>
      <c r="D24" s="10" t="s">
        <v>440</v>
      </c>
      <c r="E24" s="1" t="str">
        <f>_xlfn.TRANSLATE(Steps[[#This Row],[內容]],"zh-cht","en")</f>
        <v>Heat a wok over medium heat, add oil and stir-fry the pork for 1 minute, then add black pepper.</v>
      </c>
      <c r="F24" s="1" t="str">
        <f>_xlfn.TRANSLATE(Steps[[#This Row],[內容]],"zh-cht","fil")</f>
        <v>Painitin ang wok sa katamtamang init, idagdag ang mantika at igisa ang baboy ng 1 minuto, pagkatapos ay idagdag ang itim na paminta.</v>
      </c>
      <c r="G24" s="1" t="str">
        <f>_xlfn.TRANSLATE(Steps[[#This Row],[內容]],"zh-cht","id")</f>
        <v>Panaskan wajan dengan api sedang, tambahkan minyak dan tumis daging babi selama 1 menit, lalu tambahkan lada hitam.</v>
      </c>
    </row>
    <row r="25" spans="1:7" x14ac:dyDescent="0.4">
      <c r="A25" s="20" t="str">
        <f>_xlfn.XLOOKUP(B25,表格1[ID],表格1[Dish])</f>
        <v>麻婆豆腐</v>
      </c>
      <c r="B25" s="1" t="s">
        <v>134</v>
      </c>
      <c r="C25" s="1">
        <v>3</v>
      </c>
      <c r="D25" s="10" t="s">
        <v>359</v>
      </c>
      <c r="E25" s="1" t="str">
        <f>_xlfn.TRANSLATE(Steps[[#This Row],[內容]],"zh-cht","en")</f>
        <v>Remove the meat and set aside. Leave some oil, add Sichuan peppercorn oil and spicy doubanjiang, then add minced ginger and garlic.</v>
      </c>
      <c r="F25" s="1" t="str">
        <f>_xlfn.TRANSLATE(Steps[[#This Row],[內容]],"zh-cht","fil")</f>
        <v>Alisin ang karne at itabi sa tabi. Mag-iwan ng kaunting mantika, idagdag ang Sichuan peppercorn oil at maanghang na doubanjiang, pagkatapos ay idagdag ang tinadtad na luya at bawang.</v>
      </c>
      <c r="G25" s="1" t="str">
        <f>_xlfn.TRANSLATE(Steps[[#This Row],[內容]],"zh-cht","id")</f>
        <v>Keluarkan daging dan sisihkan. Sisakan sedikit minyak, tambahkan minyak lada Sichuan dan doubanjiang pedas, lalu tambahkan jahe cincang dan bawang putih.</v>
      </c>
    </row>
    <row r="26" spans="1:7" ht="17" x14ac:dyDescent="0.4">
      <c r="A26" s="20" t="str">
        <f>_xlfn.XLOOKUP(B26,表格1[ID],表格1[Dish])</f>
        <v>麻婆豆腐</v>
      </c>
      <c r="B26" s="1" t="s">
        <v>134</v>
      </c>
      <c r="C26" s="1">
        <v>4</v>
      </c>
      <c r="D26" s="10" t="s">
        <v>441</v>
      </c>
      <c r="E26" s="1" t="str">
        <f>_xlfn.TRANSLATE(Steps[[#This Row],[內容]],"zh-cht","en")</f>
        <v>Add fermented black beans, then add the meat and pickled mustard greens, stir-fry briefly.</v>
      </c>
      <c r="F26" s="1" t="str">
        <f>_xlfn.TRANSLATE(Steps[[#This Row],[內容]],"zh-cht","fil")</f>
        <v>Idagdag ang fermented na black beans, pagkatapos ay idagdag ang karne at pickled mustard greens, at igisa sandali.</v>
      </c>
      <c r="G26" s="1" t="str">
        <f>_xlfn.TRANSLATE(Steps[[#This Row],[內容]],"zh-cht","id")</f>
        <v>Tambahkan kacang hitam fermentasi, lalu tambahkan daging dan daun mustard acar, tumis sebentar.</v>
      </c>
    </row>
    <row r="27" spans="1:7" ht="17" x14ac:dyDescent="0.4">
      <c r="A27" s="20" t="str">
        <f>_xlfn.XLOOKUP(B27,表格1[ID],表格1[Dish])</f>
        <v>麻婆豆腐</v>
      </c>
      <c r="B27" s="1" t="s">
        <v>134</v>
      </c>
      <c r="C27" s="1">
        <v>5</v>
      </c>
      <c r="D27" s="1" t="s">
        <v>442</v>
      </c>
      <c r="E27" s="1" t="str">
        <f>_xlfn.TRANSLATE(Steps[[#This Row],[內容]],"zh-cht","en")</f>
        <v>Add soup.</v>
      </c>
      <c r="F27" s="1" t="str">
        <f>_xlfn.TRANSLATE(Steps[[#This Row],[內容]],"zh-cht","fil")</f>
        <v>Magdagdag ng sopas.</v>
      </c>
      <c r="G27" s="1" t="str">
        <f>_xlfn.TRANSLATE(Steps[[#This Row],[內容]],"zh-cht","id")</f>
        <v>Tambahkan sup.</v>
      </c>
    </row>
    <row r="28" spans="1:7" x14ac:dyDescent="0.4">
      <c r="A28" s="20" t="str">
        <f>_xlfn.XLOOKUP(B28,表格1[ID],表格1[Dish])</f>
        <v>麻婆豆腐</v>
      </c>
      <c r="B28" s="1" t="s">
        <v>134</v>
      </c>
      <c r="C28" s="1">
        <v>6</v>
      </c>
      <c r="D28" s="10" t="s">
        <v>378</v>
      </c>
      <c r="E28" s="1" t="str">
        <f>_xlfn.TRANSLATE(Steps[[#This Row],[內容]],"zh-cht","en")</f>
        <v>Add dark soy sauce, add the tofu, and simmer on low heat for 3 minutes.</v>
      </c>
      <c r="F28" s="1" t="str">
        <f>_xlfn.TRANSLATE(Steps[[#This Row],[內容]],"zh-cht","fil")</f>
        <v>Idagdag ang madilim na toyo, ilagay ang tofu, at pakuluan sa mababang init ng 3 minuto.</v>
      </c>
      <c r="G28" s="1" t="str">
        <f>_xlfn.TRANSLATE(Steps[[#This Row],[內容]],"zh-cht","id")</f>
        <v>Tambahkan kecap asin gelap, tambahkan tahu, dan didihkan dengan api kecil selama 3 menit.</v>
      </c>
    </row>
    <row r="29" spans="1:7" x14ac:dyDescent="0.4">
      <c r="A29" s="20" t="str">
        <f>_xlfn.XLOOKUP(B29,表格1[ID],表格1[Dish])</f>
        <v>麻婆豆腐</v>
      </c>
      <c r="B29" s="1" t="s">
        <v>134</v>
      </c>
      <c r="C29" s="1">
        <v>7</v>
      </c>
      <c r="D29" s="10" t="s">
        <v>379</v>
      </c>
      <c r="E29" s="1" t="str">
        <f>_xlfn.TRANSLATE(Steps[[#This Row],[內容]],"zh-cht","en")</f>
        <v>Add cornstarch water, add chopped scallions, cook for 30 seconds, and half a teaspoon of sesame oil.</v>
      </c>
      <c r="F29" s="1" t="str">
        <f>_xlfn.TRANSLATE(Steps[[#This Row],[內容]],"zh-cht","fil")</f>
        <v>Magdagdag ng cornstarch water, idagdag ang tinadtad na scallions, lutuin ng 30 segundo, at kalahating kutsarita ng sesame oil.</v>
      </c>
      <c r="G29" s="1" t="str">
        <f>_xlfn.TRANSLATE(Steps[[#This Row],[內容]],"zh-cht","id")</f>
        <v>Tambahkan air tepung jagung, tambahkan daun bawang cincang, masak selama 30 detik, dan setengah sendok teh minyak wijen.</v>
      </c>
    </row>
    <row r="30" spans="1:7" x14ac:dyDescent="0.4">
      <c r="A30" s="20" t="str">
        <f>_xlfn.XLOOKUP(B30,表格1[ID],表格1[Dish])</f>
        <v>蒜蓉蒸茄子</v>
      </c>
      <c r="B30" s="1" t="s">
        <v>135</v>
      </c>
      <c r="C30" s="1">
        <v>1</v>
      </c>
      <c r="D30" s="10" t="s">
        <v>443</v>
      </c>
      <c r="E30" s="1" t="str">
        <f>_xlfn.TRANSLATE(Steps[[#This Row],[內容]],"zh-cht","en")</f>
        <v>Cut open and wash the eggplant, then lay it out on a plate.</v>
      </c>
      <c r="F30" s="1" t="str">
        <f>_xlfn.TRANSLATE(Steps[[#This Row],[內容]],"zh-cht","fil")</f>
        <v>Putulin at hugasan ang talong, pagkatapos ay ilatag ito sa plato.</v>
      </c>
      <c r="G30" s="1" t="str">
        <f>_xlfn.TRANSLATE(Steps[[#This Row],[內容]],"zh-cht","id")</f>
        <v>Potong dan cuci terong, lalu letakkan di atas piring.</v>
      </c>
    </row>
    <row r="31" spans="1:7" x14ac:dyDescent="0.4">
      <c r="A31" s="20" t="str">
        <f>_xlfn.XLOOKUP(B31,表格1[ID],表格1[Dish])</f>
        <v>蒜蓉蒸茄子</v>
      </c>
      <c r="B31" s="1" t="s">
        <v>135</v>
      </c>
      <c r="C31" s="1">
        <v>2</v>
      </c>
      <c r="D31" s="10" t="s">
        <v>400</v>
      </c>
      <c r="E31" s="1" t="str">
        <f>_xlfn.TRANSLATE(Steps[[#This Row],[內容]],"zh-cht","en")</f>
        <v>Add sugar, cornstarch, and chicken powder to the minced garlic, then mix well.</v>
      </c>
      <c r="F31" s="1" t="str">
        <f>_xlfn.TRANSLATE(Steps[[#This Row],[內容]],"zh-cht","fil")</f>
        <v>Idagdag ang asukal, cornstarch, at chicken powder sa tinadtad na bawang, pagkatapos ay haluin nang mabuti.</v>
      </c>
      <c r="G31" s="1" t="str">
        <f>_xlfn.TRANSLATE(Steps[[#This Row],[內容]],"zh-cht","id")</f>
        <v>Tambahkan gula, tepung jagung, dan bubuk ayam ke bawang putih cincang, lalu aduk rata.</v>
      </c>
    </row>
    <row r="32" spans="1:7" x14ac:dyDescent="0.4">
      <c r="A32" s="20" t="str">
        <f>_xlfn.XLOOKUP(B32,表格1[ID],表格1[Dish])</f>
        <v>蒜蓉蒸茄子</v>
      </c>
      <c r="B32" s="1" t="s">
        <v>135</v>
      </c>
      <c r="C32" s="1">
        <v>3</v>
      </c>
      <c r="D32" s="10" t="s">
        <v>397</v>
      </c>
      <c r="E32" s="1" t="str">
        <f>_xlfn.TRANSLATE(Steps[[#This Row],[內容]],"zh-cht","en")</f>
        <v>Heat oil, pour in the minced garlic, mix well, and spread it over the eggplant.</v>
      </c>
      <c r="F32" s="1" t="str">
        <f>_xlfn.TRANSLATE(Steps[[#This Row],[內容]],"zh-cht","fil")</f>
        <v>Painitin ang mantika, ibuhos ang tinadtad na bawang, haluin nang mabuti, at ikalat ito sa talong.</v>
      </c>
      <c r="G32" s="1" t="str">
        <f>_xlfn.TRANSLATE(Steps[[#This Row],[內容]],"zh-cht","id")</f>
        <v>Panaskan minyak, tuangkan bawang putih cincang, aduk rata, lalu oleskan di atas terong.</v>
      </c>
    </row>
    <row r="33" spans="1:7" x14ac:dyDescent="0.4">
      <c r="A33" s="20" t="str">
        <f>_xlfn.XLOOKUP(B33,表格1[ID],表格1[Dish])</f>
        <v>蒜蓉蒸茄子</v>
      </c>
      <c r="B33" s="1" t="s">
        <v>135</v>
      </c>
      <c r="C33" s="1">
        <v>4</v>
      </c>
      <c r="D33" s="10" t="s">
        <v>398</v>
      </c>
      <c r="E33" s="1" t="str">
        <f>_xlfn.TRANSLATE(Steps[[#This Row],[內容]],"zh-cht","en")</f>
        <v>Once the water boils, steam on high heat for 10 minutes.</v>
      </c>
      <c r="F33" s="1" t="str">
        <f>_xlfn.TRANSLATE(Steps[[#This Row],[內容]],"zh-cht","fil")</f>
        <v>Kapag kumulo na ang tubig, i-steam sa mataas na init ng 10 minuto.</v>
      </c>
      <c r="G33" s="1" t="str">
        <f>_xlfn.TRANSLATE(Steps[[#This Row],[內容]],"zh-cht","id")</f>
        <v>Setelah air mendidih, kukus dengan api tinggi selama 10 menit.</v>
      </c>
    </row>
    <row r="34" spans="1:7" x14ac:dyDescent="0.4">
      <c r="A34" s="20" t="str">
        <f>_xlfn.XLOOKUP(B34,表格1[ID],表格1[Dish])</f>
        <v>蒜蓉蒸茄子</v>
      </c>
      <c r="B34" s="1" t="s">
        <v>135</v>
      </c>
      <c r="C34" s="1">
        <v>5</v>
      </c>
      <c r="D34" s="10" t="s">
        <v>399</v>
      </c>
      <c r="E34" s="1" t="str">
        <f>_xlfn.TRANSLATE(Steps[[#This Row],[內容]],"zh-cht","en")</f>
        <v>Add chopped scallions, pour in flaky oil, and pour in hot oil to finish.</v>
      </c>
      <c r="F34" s="1" t="str">
        <f>_xlfn.TRANSLATE(Steps[[#This Row],[內容]],"zh-cht","fil")</f>
        <v>Idagdag ang tinadtad na scallions, ibuhos ang flaky oil, at ibuhos ang mainit na mantika bilang finish.</v>
      </c>
      <c r="G34" s="1" t="str">
        <f>_xlfn.TRANSLATE(Steps[[#This Row],[內容]],"zh-cht","id")</f>
        <v>Tambahkan daun bawang cincang, tuangkan minyak yang mengelupas, lalu tuangkan minyak panas untuk melengkapi.</v>
      </c>
    </row>
    <row r="35" spans="1:7" x14ac:dyDescent="0.4">
      <c r="A35" s="20" t="str">
        <f>_xlfn.XLOOKUP(B35,表格1[ID],表格1[Dish])</f>
        <v>金銀蛋菠菜</v>
      </c>
      <c r="B35" s="1" t="s">
        <v>136</v>
      </c>
      <c r="C35" s="1">
        <v>1</v>
      </c>
      <c r="D35" s="10" t="s">
        <v>411</v>
      </c>
      <c r="E35" s="1" t="str">
        <f>_xlfn.TRANSLATE(Steps[[#This Row],[內容]],"zh-cht","en")</f>
        <v>Separate the salted egg whites and yolks; Peel the century eggs and cut into small pieces.</v>
      </c>
      <c r="F35" s="1" t="str">
        <f>_xlfn.TRANSLATE(Steps[[#This Row],[內容]],"zh-cht","fil")</f>
        <v>Paghiwalayin ang maalat na puti ng itlog at pula ng itlog; Balatan ang century eggs at hiwain sa maliliit na piraso.</v>
      </c>
      <c r="G35" s="1" t="str">
        <f>_xlfn.TRANSLATE(Steps[[#This Row],[內容]],"zh-cht","id")</f>
        <v>Pisahkan putih telur dan kuning telur yang diasinkan; Kupas telur abad dan potong menjadi potongan kecil.</v>
      </c>
    </row>
    <row r="36" spans="1:7" ht="17" x14ac:dyDescent="0.4">
      <c r="A36" s="20" t="str">
        <f>_xlfn.XLOOKUP(B36,表格1[ID],表格1[Dish])</f>
        <v>金銀蛋菠菜</v>
      </c>
      <c r="B36" s="1" t="s">
        <v>136</v>
      </c>
      <c r="C36" s="1">
        <v>2</v>
      </c>
      <c r="D36" s="10" t="s">
        <v>412</v>
      </c>
      <c r="E36" s="1" t="str">
        <f>_xlfn.TRANSLATE(Steps[[#This Row],[內容]],"zh-cht","en")</f>
        <v>Add oil, sauté whole garlic until fragrant, after 1 minute, add spinach and stir-fry quickly, pour in a little chicken broth, and serve with spinach.</v>
      </c>
      <c r="F36" s="1" t="str">
        <f>_xlfn.TRANSLATE(Steps[[#This Row],[內容]],"zh-cht","fil")</f>
        <v>Magdagdag ng mantika, igisa ang buong bawang hanggang mabango, pagkatapos ng 1 minuto, idagdag ang spinach at igisa nang mabilis, ibuhos ang kaunting sabaw ng manok, at ihain kasama ang spinach.</v>
      </c>
      <c r="G36" s="1" t="str">
        <f>_xlfn.TRANSLATE(Steps[[#This Row],[內容]],"zh-cht","id")</f>
        <v>Tambahkan minyak, tumis bawang putih utuh hingga harum, setelah 1 menit, tambahkan bayam dan tumis dengan cepat, tuang sedikit kaldu ayam, dan sajikan bersama bayam.</v>
      </c>
    </row>
    <row r="37" spans="1:7" ht="17" x14ac:dyDescent="0.4">
      <c r="A37" s="20" t="str">
        <f>_xlfn.XLOOKUP(B37,表格1[ID],表格1[Dish])</f>
        <v>金銀蛋菠菜</v>
      </c>
      <c r="B37" s="1" t="s">
        <v>136</v>
      </c>
      <c r="C37" s="1">
        <v>3</v>
      </c>
      <c r="D37" s="10" t="s">
        <v>444</v>
      </c>
      <c r="E37" s="1" t="str">
        <f>_xlfn.TRANSLATE(Steps[[#This Row],[內容]],"zh-cht","en")</f>
        <v>Bring a clear wok to a boil, add chicken broth, first add salted egg yolk and century egg, cook for 2 minutes, then add salted egg whites and beat into egg drops. Add spinach and serve with soup</v>
      </c>
      <c r="F37" s="1" t="str">
        <f>_xlfn.TRANSLATE(Steps[[#This Row],[內容]],"zh-cht","fil")</f>
        <v>Pakuluan ang malinaw na wok, idagdag ang sabaw ng manok, una idagdag ang maalat na pula ng itlog at century egg, lutuin ng 2 minuto, pagkatapos ay idagdag ang maalat na puti ng itlog at batiin hanggang maging egg drops. Idagdag ang spinach at ihain kasama ng sopas</v>
      </c>
      <c r="G37" s="1" t="str">
        <f>_xlfn.TRANSLATE(Steps[[#This Row],[內容]],"zh-cht","id")</f>
        <v>Didihkan wajan bening, tambahkan kaldu ayam, tambahkan kuning telur asin dan telur abad terlebih dahulu, masak selama 2 menit, lalu tambahkan putih telur asin dan kocok menjadi tetesan telur. Tambahkan bayam dan sajikan bersama sup</v>
      </c>
    </row>
    <row r="38" spans="1:7" x14ac:dyDescent="0.4">
      <c r="A38" s="20" t="str">
        <f>_xlfn.XLOOKUP(B38,表格1[ID],表格1[Dish])</f>
        <v>薑葱焗桶蠔</v>
      </c>
      <c r="B38" s="1" t="s">
        <v>138</v>
      </c>
      <c r="C38" s="1">
        <v>1</v>
      </c>
      <c r="D38" s="10" t="s">
        <v>423</v>
      </c>
      <c r="E38" s="1" t="str">
        <f>_xlfn.TRANSLATE(Steps[[#This Row],[內容]],"zh-cht","en")</f>
        <v>Cut the scallion into sections (separate the white and green parts), and slice the ginger for later use.</v>
      </c>
      <c r="F38" s="1" t="str">
        <f>_xlfn.TRANSLATE(Steps[[#This Row],[內容]],"zh-cht","fil")</f>
        <v>Hiwain ang scallion sa mga bahagi (paghiwalayin ang puti at berdeng bahagi), at hiwain ang luya para magamit sa susunod.</v>
      </c>
      <c r="G38" s="1" t="str">
        <f>_xlfn.TRANSLATE(Steps[[#This Row],[內容]],"zh-cht","id")</f>
        <v>Potong daun bawang menjadi beberapa bagian (pisahkan bagian putih dan hijau), lalu iris jahe untuk digunakan nanti.</v>
      </c>
    </row>
    <row r="39" spans="1:7" ht="17" x14ac:dyDescent="0.4">
      <c r="A39" s="20" t="str">
        <f>_xlfn.XLOOKUP(B39,表格1[ID],表格1[Dish])</f>
        <v>薑葱焗桶蠔</v>
      </c>
      <c r="B39" s="1" t="s">
        <v>138</v>
      </c>
      <c r="C39" s="1">
        <v>2</v>
      </c>
      <c r="D39" s="11" t="s">
        <v>447</v>
      </c>
      <c r="E39" s="1" t="str">
        <f>_xlfn.TRANSLATE(Steps[[#This Row],[內容]],"zh-cht","en")</f>
        <v>Rinse the oysters gently with 2 tablespoons of cornstarch until they are no longer cloudy. Absorb the water. Gently wipe off the surface with your hands</v>
      </c>
      <c r="F39" s="1" t="str">
        <f>_xlfn.TRANSLATE(Steps[[#This Row],[內容]],"zh-cht","fil")</f>
        <v>Banlawan nang dahan-dahan ang talaba gamit ang 2 kutsara ng cornstarch hanggang hindi na ito malabo. Sipsipin ang tubig. Dahan-dahang punasan ang ibabaw gamit ang iyong mga kamay</v>
      </c>
      <c r="G39" s="1" t="str">
        <f>_xlfn.TRANSLATE(Steps[[#This Row],[內容]],"zh-cht","id")</f>
        <v>Bilas tiram dengan lembut menggunakan 2 sendok makan tepung maizena hingga tidak keruh lagi. Serap airnya. Lap permukaannya dengan tangan dengan lembut</v>
      </c>
    </row>
    <row r="40" spans="1:7" ht="17" x14ac:dyDescent="0.4">
      <c r="A40" s="20" t="str">
        <f>_xlfn.XLOOKUP(B40,表格1[ID],表格1[Dish])</f>
        <v>薑葱焗桶蠔</v>
      </c>
      <c r="B40" s="1" t="s">
        <v>138</v>
      </c>
      <c r="C40" s="1">
        <v>3</v>
      </c>
      <c r="D40" s="11" t="s">
        <v>448</v>
      </c>
      <c r="E40" s="1" t="str">
        <f>_xlfn.TRANSLATE(Steps[[#This Row],[內容]],"zh-cht","en")</f>
        <v>After boiling water, add a little ginger slices, blanch the oysters for 1 minute, remove and dry them, then coat with 3 tablespoons of cornstarch and salt.</v>
      </c>
      <c r="F40" s="1" t="str">
        <f>_xlfn.TRANSLATE(Steps[[#This Row],[內容]],"zh-cht","fil")</f>
        <v>Pagkatapos kumukulo ng tubig, magdagdag ng kaunting hiwa ng luya, i-blanch ang mga talaba ng 1 minuto, alisin at patuyuin, pagkatapos ay balutin ng 3 kutsara ng cornstarch at asin.</v>
      </c>
      <c r="G40" s="1" t="str">
        <f>_xlfn.TRANSLATE(Steps[[#This Row],[內容]],"zh-cht","id")</f>
        <v>Setelah air direbus, tambahkan sedikit irisan jahe, rebus tiram selama 1 menit, angkat dan keringkan, lalu lapisi dengan 3 sendok makan tepung maizena dan garam.</v>
      </c>
    </row>
    <row r="41" spans="1:7" ht="34" x14ac:dyDescent="0.4">
      <c r="A41" s="20" t="str">
        <f>_xlfn.XLOOKUP(B41,表格1[ID],表格1[Dish])</f>
        <v>薑葱焗桶蠔</v>
      </c>
      <c r="B41" s="1" t="s">
        <v>138</v>
      </c>
      <c r="C41" s="1">
        <v>4</v>
      </c>
      <c r="D41" s="11" t="s">
        <v>454</v>
      </c>
      <c r="E41" s="1" t="str">
        <f>_xlfn.TRANSLATE(Steps[[#This Row],[內容]],"zh-cht","en")</f>
        <v>Heat oil in a pan over medium heat, add ginger slices and scallion whites to release flavor, then remove the ginger and scallion whites, add oysters and pan-fry until slightly golden, then remove. Fry on high heat for 30 seconds and flip to the other side</v>
      </c>
      <c r="F41" s="1" t="str">
        <f>_xlfn.TRANSLATE(Steps[[#This Row],[內容]],"zh-cht","fil")</f>
        <v>Painitin ang mantika sa kawali sa katamtamang init, idagdag ang mga hiwa ng luya at puti ng scallion para mailabas ang lasa, pagkatapos alisin ang luya at puti ng scallion, idagdag ang talaba at iprito sa kawali hanggang bahagyang maging ginto, pagkatapos ay alisin. Iprito sa mataas na init ng 30 segundo at baliktarin sa kabilang gilid</v>
      </c>
      <c r="G41" s="1" t="str">
        <f>_xlfn.TRANSLATE(Steps[[#This Row],[內容]],"zh-cht","id")</f>
        <v>Panaskan minyak dalam wajan dengan api sedang, tambahkan irisan jahe dan putih bawang bawang untuk melepaskan rasa, lalu keluarkan jahe dan putih daun bawang, tambahkan tiram dan goreng sampai sedikit keemasan, lalu angkat. Goreng dengan api tinggi selama 30 detik lalu balik ke sisi lain</v>
      </c>
    </row>
    <row r="42" spans="1:7" ht="32.5" x14ac:dyDescent="0.4">
      <c r="A42" s="20" t="str">
        <f>_xlfn.XLOOKUP(B42,表格1[ID],表格1[Dish])</f>
        <v>薑葱焗桶蠔</v>
      </c>
      <c r="B42" s="1" t="s">
        <v>138</v>
      </c>
      <c r="C42" s="1">
        <v>5</v>
      </c>
      <c r="D42" s="11" t="s">
        <v>453</v>
      </c>
      <c r="E42" s="1" t="str">
        <f>_xlfn.TRANSLATE(Steps[[#This Row],[內容]],"zh-cht","en")</f>
        <v>Add garlic and stir-fry until fragrant, then add Shaoxing wine and the scallion and ginger that have just released the flavor. Once fragrant, add the oysters and stir-fry quickly. Divide the sauce in stages to reduce the sauce, then add the green scallions and stir-fry at the same time. Add two drops of sesame oil before serving</v>
      </c>
      <c r="F42" s="1" t="str">
        <f>_xlfn.TRANSLATE(Steps[[#This Row],[內容]],"zh-cht","fil")</f>
        <v>Idagdag ang bawang at igisa hanggang mabango, pagkatapos ay idagdag ang Shaoxing wine at ang scallion at luya na kakalabas lang ng lasa. Kapag mabango, idagdag ang talaba at mabilis na igisa. Hatiin ang sarsa sa mga yugto upang mabawasan ang sarsa, pagkatapos idagdag ang berdeng sibuyas at iprito nang sabay. Magdagdag ng dalawang patak ng sesame oil bago ihain</v>
      </c>
      <c r="G42" s="1" t="str">
        <f>_xlfn.TRANSLATE(Steps[[#This Row],[內容]],"zh-cht","id")</f>
        <v>Tambahkan bawang putih dan tumis sampai harum, lalu tambahkan Shaoxing wine serta daun bawang dan jahe yang baru saja melepaskan rasa. Setelah harum, tambahkan tiram dan tumis dengan cepat. Bagi saus secara bertahap untuk mengurangi saus, lalu tambahkan daun bawang hijau dan tumis secara bersamaan. Tambahkan dua tetes minyak wijen sebelum disajikan</v>
      </c>
    </row>
    <row r="43" spans="1:7" x14ac:dyDescent="0.4">
      <c r="A43" s="20" t="str">
        <f>_xlfn.XLOOKUP(B43,表格1[ID],表格1[Dish])</f>
        <v>土匪雞翼</v>
      </c>
      <c r="B43" s="1" t="s">
        <v>139</v>
      </c>
      <c r="C43" s="1">
        <v>1</v>
      </c>
      <c r="D43" s="10" t="s">
        <v>437</v>
      </c>
      <c r="E43" s="1" t="str">
        <f>_xlfn.TRANSLATE(Steps[[#This Row],[內容]],"zh-cht","en")</f>
        <v>Wash the chicken wings, wipe them dry, and marinate them with seasonings for a few hours</v>
      </c>
      <c r="F43" s="1" t="str">
        <f>_xlfn.TRANSLATE(Steps[[#This Row],[內容]],"zh-cht","fil")</f>
        <v>Hugasan ang mga pakpak ng manok, punasan ito para matuyo, at i-marinate gamit ang mga pampalasa ng ilang oras</v>
      </c>
      <c r="G43" s="1" t="str">
        <f>_xlfn.TRANSLATE(Steps[[#This Row],[內容]],"zh-cht","id")</f>
        <v>Cuci sayap ayam, lap kering, dan marinasi dengan bumbu selama beberapa jam</v>
      </c>
    </row>
    <row r="44" spans="1:7" x14ac:dyDescent="0.4">
      <c r="A44" s="20" t="str">
        <f>_xlfn.XLOOKUP(B44,表格1[ID],表格1[Dish])</f>
        <v>土匪雞翼</v>
      </c>
      <c r="B44" s="1" t="s">
        <v>139</v>
      </c>
      <c r="C44" s="1">
        <v>2</v>
      </c>
      <c r="D44" s="10" t="s">
        <v>438</v>
      </c>
      <c r="E44" s="1" t="str">
        <f>_xlfn.TRANSLATE(Steps[[#This Row],[內容]],"zh-cht","en")</f>
        <v>Place the chicken wings in the air fryer basket, brushing a little oil on the surface.</v>
      </c>
      <c r="F44" s="1" t="str">
        <f>_xlfn.TRANSLATE(Steps[[#This Row],[內容]],"zh-cht","fil")</f>
        <v>Ilagay ang mga pakpak ng manok sa basket ng air fryer, pahiran ng kaunting mantika sa ibabaw.</v>
      </c>
      <c r="G44" s="1" t="str">
        <f>_xlfn.TRANSLATE(Steps[[#This Row],[內容]],"zh-cht","id")</f>
        <v>Letakkan sayap ayam di keranjang air fryer, oleskan sedikit minyak di permukaannya.</v>
      </c>
    </row>
    <row r="45" spans="1:7" ht="17" x14ac:dyDescent="0.4">
      <c r="A45" s="20" t="str">
        <f>_xlfn.XLOOKUP(B45,表格1[ID],表格1[Dish])</f>
        <v>土匪雞翼</v>
      </c>
      <c r="B45" s="1" t="s">
        <v>139</v>
      </c>
      <c r="C45" s="1">
        <v>3</v>
      </c>
      <c r="D45" s="12" t="s">
        <v>446</v>
      </c>
      <c r="E45" s="1" t="str">
        <f>_xlfn.TRANSLATE(Steps[[#This Row],[內容]],"zh-cht","en")</f>
        <v>Fry at 180°C for about 10 minutes</v>
      </c>
      <c r="F45" s="1" t="str">
        <f>_xlfn.TRANSLATE(Steps[[#This Row],[內容]],"zh-cht","fil")</f>
        <v>Iprito sa 180°C ng mga 10 minuto</v>
      </c>
      <c r="G45" s="1" t="str">
        <f>_xlfn.TRANSLATE(Steps[[#This Row],[內容]],"zh-cht","id")</f>
        <v>Goreng pada suhu 180°C selama sekitar 10 menit</v>
      </c>
    </row>
    <row r="46" spans="1:7" x14ac:dyDescent="0.4">
      <c r="A46" s="20" t="str">
        <f>_xlfn.XLOOKUP(B46,表格1[ID],表格1[Dish])</f>
        <v>土匪雞翼</v>
      </c>
      <c r="B46" s="1" t="s">
        <v>139</v>
      </c>
      <c r="C46" s="1">
        <v>4</v>
      </c>
      <c r="D46" s="10" t="s">
        <v>439</v>
      </c>
      <c r="E46" s="1" t="str">
        <f>_xlfn.TRANSLATE(Steps[[#This Row],[內容]],"zh-cht","en")</f>
        <v>Turn on the air fryer and flip the chicken wings</v>
      </c>
      <c r="F46" s="1" t="str">
        <f>_xlfn.TRANSLATE(Steps[[#This Row],[內容]],"zh-cht","fil")</f>
        <v>Buksan ang air fryer at baliktarin ang mga pakpak ng manok</v>
      </c>
      <c r="G46" s="1" t="str">
        <f>_xlfn.TRANSLATE(Steps[[#This Row],[內容]],"zh-cht","id")</f>
        <v>Nyalakan air fryer dan balikkan sayap ayam</v>
      </c>
    </row>
    <row r="47" spans="1:7" ht="34" x14ac:dyDescent="0.4">
      <c r="A47" s="20" t="str">
        <f>_xlfn.XLOOKUP(B47,表格1[ID],表格1[Dish])</f>
        <v>土匪雞翼</v>
      </c>
      <c r="B47" s="1" t="s">
        <v>139</v>
      </c>
      <c r="C47" s="1">
        <v>5</v>
      </c>
      <c r="D47" s="10" t="s">
        <v>445</v>
      </c>
      <c r="E47" s="1" t="str">
        <f>_xlfn.TRANSLATE(Steps[[#This Row],[內容]],"zh-cht","en")</f>
        <v>Sprinkle a layer of cumin powder and black/white sesame seeds on top, then air fry at 180°C (or raise to 200°C to release fat) for another 3 to 5 minutes until the chicken skin is golden and crispy, then remove from heat</v>
      </c>
      <c r="F47" s="1" t="str">
        <f>_xlfn.TRANSLATE(Steps[[#This Row],[內容]],"zh-cht","fil")</f>
        <v>Budburan ng patong ng cumin powder at itim/puting linga sa ibabaw, pagkatapos ay i-air fry sa 180°C (o itaas sa 200°C para mawala ang taba) ng isa pang 3 hanggang 5 minuto hanggang maging ginto at malutong ang balat ng manok, pagkatapos ay alisin sa apoy</v>
      </c>
      <c r="G47" s="1" t="str">
        <f>_xlfn.TRANSLATE(Steps[[#This Row],[內容]],"zh-cht","id")</f>
        <v>Taburkan lapisan bubuk jintan dan biji wijen hitam/putih di atasnya, lalu goreng dengan udara pada suhu 180°C (atau tingkatkan hingga 200°C untuk melepaskan lemak) selama 3 hingga 5 menit lagi hingga kulit ayam berwarna keemasan dan renyah, lalu angkat dari api</v>
      </c>
    </row>
    <row r="48" spans="1:7" x14ac:dyDescent="0.4">
      <c r="A48" s="20" t="str">
        <f>_xlfn.XLOOKUP(B48,表格1[ID],表格1[Dish])</f>
        <v>涼伴雲耳</v>
      </c>
      <c r="B48" s="1" t="s">
        <v>140</v>
      </c>
      <c r="C48" s="1">
        <v>1</v>
      </c>
      <c r="D48" s="10" t="s">
        <v>457</v>
      </c>
      <c r="E48" s="1" t="str">
        <f>_xlfn.TRANSLATE(Steps[[#This Row],[內容]],"zh-cht","en")</f>
        <v>Soak the black fungus for 30 minutes, drain, and remove sand.</v>
      </c>
      <c r="F48" s="1" t="str">
        <f>_xlfn.TRANSLATE(Steps[[#This Row],[內容]],"zh-cht","fil")</f>
        <v>Ibabad ang itim na fungus ng 30 minuto, i-drain, at alisin ang buhangin.</v>
      </c>
      <c r="G48" s="1" t="str">
        <f>_xlfn.TRANSLATE(Steps[[#This Row],[內容]],"zh-cht","id")</f>
        <v>Rendam jamur hitam selama 30 menit, tiriskan, dan angkat pasir.</v>
      </c>
    </row>
    <row r="49" spans="1:7" x14ac:dyDescent="0.4">
      <c r="A49" s="20" t="str">
        <f>_xlfn.XLOOKUP(B49,表格1[ID],表格1[Dish])</f>
        <v>涼伴雲耳</v>
      </c>
      <c r="B49" s="1" t="s">
        <v>140</v>
      </c>
      <c r="C49" s="1">
        <v>2</v>
      </c>
      <c r="D49" s="10" t="s">
        <v>458</v>
      </c>
      <c r="E49" s="1" t="str">
        <f>_xlfn.TRANSLATE(Steps[[#This Row],[內容]],"zh-cht","en")</f>
        <v>Repeat the wash 3 times.</v>
      </c>
      <c r="F49" s="1" t="str">
        <f>_xlfn.TRANSLATE(Steps[[#This Row],[內容]],"zh-cht","fil")</f>
        <v>Ulitin ang paghuhugas ng 3 beses.</v>
      </c>
      <c r="G49" s="1" t="str">
        <f>_xlfn.TRANSLATE(Steps[[#This Row],[內容]],"zh-cht","id")</f>
        <v>Ulangi pencucian 3 kali.</v>
      </c>
    </row>
    <row r="50" spans="1:7" ht="17" x14ac:dyDescent="0.4">
      <c r="A50" s="20" t="str">
        <f>_xlfn.XLOOKUP(B50,表格1[ID],表格1[Dish])</f>
        <v>涼伴雲耳</v>
      </c>
      <c r="B50" s="1" t="s">
        <v>140</v>
      </c>
      <c r="C50" s="1">
        <v>3</v>
      </c>
      <c r="D50" s="10" t="s">
        <v>459</v>
      </c>
      <c r="E50" s="1" t="str">
        <f>_xlfn.TRANSLATE(Steps[[#This Row],[內容]],"zh-cht","en")</f>
        <v>Add the black fungus to the ice in cold water, boil for 2 minutes, then rinse with cold boiling water.</v>
      </c>
      <c r="F50" s="1" t="str">
        <f>_xlfn.TRANSLATE(Steps[[#This Row],[內容]],"zh-cht","fil")</f>
        <v>Idagdag ang itim na fungus sa yelo sa malamig na tubig, pakuluan ng 2 minuto, pagkatapos banlawan gamit ang malamig na kumukulong tubig.</v>
      </c>
      <c r="G50" s="1" t="str">
        <f>_xlfn.TRANSLATE(Steps[[#This Row],[內容]],"zh-cht","id")</f>
        <v>Tambahkan jamur hitam ke dalam es dalam air dingin, didihkan selama 2 menit, lalu bilas dengan air mendidih dingin.</v>
      </c>
    </row>
    <row r="51" spans="1:7" ht="17" x14ac:dyDescent="0.4">
      <c r="A51" s="20" t="str">
        <f>_xlfn.XLOOKUP(B51,表格1[ID],表格1[Dish])</f>
        <v>涼伴雲耳</v>
      </c>
      <c r="B51" s="1" t="s">
        <v>140</v>
      </c>
      <c r="C51" s="1">
        <v>4</v>
      </c>
      <c r="D51" s="10" t="s">
        <v>460</v>
      </c>
      <c r="E51" s="1" t="str">
        <f>_xlfn.TRANSLATE(Steps[[#This Row],[內容]],"zh-cht","en")</f>
        <v>Drain and mix to season. Store in the refrigerator</v>
      </c>
      <c r="F51" s="1" t="str">
        <f>_xlfn.TRANSLATE(Steps[[#This Row],[內容]],"zh-cht","fil")</f>
        <v>I-drain at haluin para sa season. Itago sa refrigerator</v>
      </c>
      <c r="G51" s="1" t="str">
        <f>_xlfn.TRANSLATE(Steps[[#This Row],[內容]],"zh-cht","id")</f>
        <v>Tiriskan dan aduk sesuai bumbu. Simpan di kulkas</v>
      </c>
    </row>
    <row r="52" spans="1:7" ht="17" x14ac:dyDescent="0.4">
      <c r="A52" s="20" t="str">
        <f>_xlfn.XLOOKUP(B52,表格1[ID],表格1[Dish])</f>
        <v>醬燒豆腐</v>
      </c>
      <c r="B52" s="1" t="s">
        <v>688</v>
      </c>
      <c r="C52" s="1">
        <v>1</v>
      </c>
      <c r="D52" s="5" t="s">
        <v>693</v>
      </c>
      <c r="E52" s="1" t="str">
        <f>_xlfn.TRANSLATE(Steps[[#This Row],[內容]],"zh-cht","en")</f>
        <v>Cut the tofu into 8 slices and set aside</v>
      </c>
      <c r="F52" s="1" t="str">
        <f>_xlfn.TRANSLATE(Steps[[#This Row],[內容]],"zh-cht","fil")</f>
        <v>Hiwain ang tofu sa 8 hiwa at itabi</v>
      </c>
      <c r="G52" s="1" t="str">
        <f>_xlfn.TRANSLATE(Steps[[#This Row],[內容]],"zh-cht","id")</f>
        <v>Potong tahu menjadi 8 iris dan sisihkan</v>
      </c>
    </row>
    <row r="53" spans="1:7" ht="17" x14ac:dyDescent="0.4">
      <c r="A53" s="20" t="str">
        <f>_xlfn.XLOOKUP(B53,表格1[ID],表格1[Dish])</f>
        <v>醬燒豆腐</v>
      </c>
      <c r="B53" s="1" t="s">
        <v>688</v>
      </c>
      <c r="C53" s="1">
        <v>2</v>
      </c>
      <c r="D53" s="2" t="s">
        <v>694</v>
      </c>
      <c r="E53" s="1" t="str">
        <f>_xlfn.TRANSLATE(Steps[[#This Row],[內容]],"zh-cht","en")</f>
        <v>Heat a small amount of oil in a pan, then add the egg and tofu, and pan-fry over medium heat until both sides are golden brown</v>
      </c>
      <c r="F53" s="1" t="str">
        <f>_xlfn.TRANSLATE(Steps[[#This Row],[內容]],"zh-cht","fil")</f>
        <v>Painitin ang kaunting mantika sa kawali, pagkatapos idagdag ang itlog at tofu, at iprito sa katamtamang init hanggang maging gintong kayumanggi ang magkabilang panig</v>
      </c>
      <c r="G53" s="1" t="str">
        <f>_xlfn.TRANSLATE(Steps[[#This Row],[內容]],"zh-cht","id")</f>
        <v>Panaskan sedikit minyak di wajan, lalu tambahkan telur dan tahu, lalu goreng di atas api sedang hingga kedua sisinya berwarna cokelat keemasan</v>
      </c>
    </row>
    <row r="54" spans="1:7" ht="17" x14ac:dyDescent="0.4">
      <c r="A54" s="20" t="str">
        <f>_xlfn.XLOOKUP(B54,表格1[ID],表格1[Dish])</f>
        <v>醬燒豆腐</v>
      </c>
      <c r="B54" s="1" t="s">
        <v>688</v>
      </c>
      <c r="C54" s="1">
        <v>3</v>
      </c>
      <c r="D54" s="2" t="s">
        <v>695</v>
      </c>
      <c r="E54" s="1" t="str">
        <f>_xlfn.TRANSLATE(Steps[[#This Row],[內容]],"zh-cht","en")</f>
        <v>Take a small piece of napkin, hold it with chopsticks, absorb excess oil from the pan, then add the seasonings. Once the tofu absorbs the sauce, it's ready</v>
      </c>
      <c r="F54" s="1" t="str">
        <f>_xlfn.TRANSLATE(Steps[[#This Row],[內容]],"zh-cht","fil")</f>
        <v>Kumuha ng maliit na piraso ng napkin, hawakan gamit ang chopsticks, sipsipin ang sobrang mantika mula sa kawali, tapos idagdag ang mga pampalasa. Kapag na-absorb na ng tofu ang sarsa, handa na ito</v>
      </c>
      <c r="G54" s="1" t="str">
        <f>_xlfn.TRANSLATE(Steps[[#This Row],[內容]],"zh-cht","id")</f>
        <v>Ambil sepotong kecil serbet, pegang dengan sumpit, serap minyak berlebih dari wajan, lalu tambahkan bumbu. Setelah tahu menyerap saus, sudah siap</v>
      </c>
    </row>
    <row r="55" spans="1:7" ht="17" x14ac:dyDescent="0.4">
      <c r="A55" s="20" t="str">
        <f>_xlfn.XLOOKUP(B55,表格1[ID],表格1[Dish])</f>
        <v>蒜香蒸豬五花高麗菜</v>
      </c>
      <c r="B55" s="1" t="s">
        <v>722</v>
      </c>
      <c r="C55" s="1">
        <v>1</v>
      </c>
      <c r="D55" s="2" t="s">
        <v>864</v>
      </c>
      <c r="E55" s="1" t="str">
        <f>_xlfn.TRANSLATE(Steps[[#This Row],[內容]],"zh-cht","en")</f>
        <v>Arrange the cabbage and pork belly slices evenly in the pan, then drizzle with Shaoxing wine (optional).</v>
      </c>
      <c r="F55" s="1" t="str">
        <f>_xlfn.TRANSLATE(Steps[[#This Row],[內容]],"zh-cht","fil")</f>
        <v>Ayusin nang pantay-pantay ang hiwa ng repolyo at pork belly sa kawali, pagkatapos ay ibuhos ng Shaoxing wine (opsyonal).</v>
      </c>
      <c r="G55" s="1" t="str">
        <f>_xlfn.TRANSLATE(Steps[[#This Row],[內容]],"zh-cht","id")</f>
        <v>Susun irisan kubis dan perut babi secara merata di wajan, lalu siram dengan anggur Shaoxing (opsional).</v>
      </c>
    </row>
    <row r="56" spans="1:7" ht="17" x14ac:dyDescent="0.4">
      <c r="A56" s="1" t="str">
        <f>_xlfn.XLOOKUP(B56,表格1[ID],表格1[Dish])</f>
        <v>蒜香蒸豬五花高麗菜</v>
      </c>
      <c r="B56" s="1" t="s">
        <v>722</v>
      </c>
      <c r="C56" s="1">
        <v>2</v>
      </c>
      <c r="D56" s="2" t="s">
        <v>865</v>
      </c>
      <c r="E56" s="1" t="str">
        <f>_xlfn.TRANSLATE(Steps[[#This Row],[內容]],"zh-cht","en")</f>
        <v>Cover the pot and simmer over low heat for 7-10 minutes until the meat slices are fully cooked</v>
      </c>
      <c r="F56" s="1" t="str">
        <f>_xlfn.TRANSLATE(Steps[[#This Row],[內容]],"zh-cht","fil")</f>
        <v>Takpan ang kaldero at pakuluan sa mababang init ng 7-10 minuto hanggang luto nang husto ang mga hiwa ng karne</v>
      </c>
      <c r="G56" s="1" t="str">
        <f>_xlfn.TRANSLATE(Steps[[#This Row],[內容]],"zh-cht","id")</f>
        <v>Tutup panci dan didihkan dengan api kecil selama 7-10 menit hingga irisan daging benar-benar matang</v>
      </c>
    </row>
    <row r="57" spans="1:7" ht="17" x14ac:dyDescent="0.4">
      <c r="A57" s="1" t="str">
        <f>_xlfn.XLOOKUP(B57,表格1[ID],表格1[Dish])</f>
        <v>蒜香蒸豬五花高麗菜</v>
      </c>
      <c r="B57" s="1" t="s">
        <v>722</v>
      </c>
      <c r="C57" s="1">
        <v>3</v>
      </c>
      <c r="D57" s="2" t="s">
        <v>866</v>
      </c>
      <c r="E57" s="1" t="str">
        <f>_xlfn.TRANSLATE(Steps[[#This Row],[內容]],"zh-cht","en")</f>
        <v>Mix the first four seasonings with minced garlic and pour over the meat slices.</v>
      </c>
      <c r="F57" s="1" t="str">
        <f>_xlfn.TRANSLATE(Steps[[#This Row],[內容]],"zh-cht","fil")</f>
        <v>Haluin ang unang apat na pampalasa sa giniling na bawang at ibuhos sa ibabaw ng mga hiwa ng karne.</v>
      </c>
      <c r="G57" s="1" t="str">
        <f>_xlfn.TRANSLATE(Steps[[#This Row],[內容]],"zh-cht","id")</f>
        <v>Campurkan empat bumbu pertama dengan bawang putih cincang dan tuangkan di atas irisan daging.</v>
      </c>
    </row>
    <row r="58" spans="1:7" ht="17" x14ac:dyDescent="0.4">
      <c r="A58" s="1" t="str">
        <f>_xlfn.XLOOKUP(B58,表格1[ID],表格1[Dish])</f>
        <v>豆腐肉捲</v>
      </c>
      <c r="B58" s="1" t="s">
        <v>725</v>
      </c>
      <c r="C58" s="1">
        <v>1</v>
      </c>
      <c r="D58" s="2" t="s">
        <v>873</v>
      </c>
      <c r="E58" s="1" t="str">
        <f>_xlfn.TRANSLATE(Steps[[#This Row],[內容]],"zh-cht","en")</f>
        <v>Wrap the tofu strips inside the meat slices and roll them up</v>
      </c>
      <c r="F58" s="1" t="str">
        <f>_xlfn.TRANSLATE(Steps[[#This Row],[內容]],"zh-cht","fil")</f>
        <v>Balutin ang mga hiwa ng tofu sa loob ng mga hiwa ng karne at i-roll ito</v>
      </c>
      <c r="G58" s="1" t="str">
        <f>_xlfn.TRANSLATE(Steps[[#This Row],[內容]],"zh-cht","id")</f>
        <v>Bungkus irisan tahu di dalam irisan daging dan gulung</v>
      </c>
    </row>
    <row r="59" spans="1:7" ht="17" x14ac:dyDescent="0.4">
      <c r="A59" s="1" t="str">
        <f>_xlfn.XLOOKUP(B59,表格1[ID],表格1[Dish])</f>
        <v>豆腐肉捲</v>
      </c>
      <c r="B59" s="1" t="s">
        <v>725</v>
      </c>
      <c r="C59" s="1">
        <v>2</v>
      </c>
      <c r="D59" s="2" t="s">
        <v>874</v>
      </c>
      <c r="E59" s="1" t="str">
        <f>_xlfn.TRANSLATE(Steps[[#This Row],[內容]],"zh-cht","en")</f>
        <v>Heat a small amount of oil in the pan, then pan-fry the meat seams facing down over medium-low heat. If you have leftover tofu, you can also add it to the pan to fry together</v>
      </c>
      <c r="F59" s="1" t="str">
        <f>_xlfn.TRANSLATE(Steps[[#This Row],[內容]],"zh-cht","fil")</f>
        <v>Painitin ang kaunting mantika sa kawali, pagkatapos ay iprito ang mga seam ng karne na nakaharap pababa sa medium-low na init. Kung may natirang tofu, maaari mo rin itong idagdag sa kawali para iprito nang sabay-sabay</v>
      </c>
      <c r="G59" s="1" t="str">
        <f>_xlfn.TRANSLATE(Steps[[#This Row],[內容]],"zh-cht","id")</f>
        <v>Panaskan sedikit minyak di wajan, lalu goreng bagian daging menghadap ke bawah dengan api sedang-rendah. Jika Anda punya tahu sisa, Anda juga bisa menambahkannya ke wajan untuk digoreng bersama</v>
      </c>
    </row>
    <row r="60" spans="1:7" ht="17" x14ac:dyDescent="0.4">
      <c r="A60" s="1" t="str">
        <f>_xlfn.XLOOKUP(B60,表格1[ID],表格1[Dish])</f>
        <v>豆腐肉捲</v>
      </c>
      <c r="B60" s="1" t="s">
        <v>725</v>
      </c>
      <c r="C60" s="1">
        <v>3</v>
      </c>
      <c r="D60" s="2" t="s">
        <v>875</v>
      </c>
      <c r="E60" s="1" t="str">
        <f>_xlfn.TRANSLATE(Steps[[#This Row],[內容]],"zh-cht","en")</f>
        <v>Once every side of the meat is cooked, pour the seasonings over it. Stir the meat occasionally to ensure the sauce absorbs evenly. Once the sauce thickens and the meat rolls are colored and flavorful, it's ready</v>
      </c>
      <c r="F60" s="1" t="str">
        <f>_xlfn.TRANSLATE(Steps[[#This Row],[內容]],"zh-cht","fil")</f>
        <v>Kapag luto na ang bawat gilid ng karne, ibuhos ang mga pampalasa dito. Haluin paminsan-minsan ang karne para pantay ang pagsipsip ng sarsa. Kapag lumapot na ang sarsa at may kulay at lasa na ang meat rolls, handa na ito</v>
      </c>
      <c r="G60" s="1" t="str">
        <f>_xlfn.TRANSLATE(Steps[[#This Row],[內容]],"zh-cht","id")</f>
        <v>Setelah setiap sisi daging matang, tuangkan bumbu di atasnya. Aduk daging sesekali agar saus terserap secara merata. Setelah saus mengental dan daging berwarna serta beraroma lezat, saus siap</v>
      </c>
    </row>
    <row r="61" spans="1:7" ht="17" x14ac:dyDescent="0.4">
      <c r="A61" s="24" t="str">
        <f>_xlfn.XLOOKUP(B61,表格1[ID],表格1[Dish])</f>
        <v>和風洋葱蛋花湯</v>
      </c>
      <c r="B61" s="1" t="s">
        <v>848</v>
      </c>
      <c r="C61" s="1">
        <v>1</v>
      </c>
      <c r="D61" s="5" t="s">
        <v>1079</v>
      </c>
      <c r="E61" s="24" t="str">
        <f>_xlfn.TRANSLATE(Steps[[#This Row],[內容]],"zh-cht","en")</f>
        <v>Cut the onion into thin strips and stir-fry over medium-low heat until golden brown</v>
      </c>
      <c r="F61" s="24" t="str">
        <f>_xlfn.TRANSLATE(Steps[[#This Row],[內容]],"zh-cht","fil")</f>
        <v>Hiwain ang sibuyas sa manipis na piraso at igisa sa medium-low heat hanggang gintong kayumanggi</v>
      </c>
      <c r="G61" s="24" t="str">
        <f>_xlfn.TRANSLATE(Steps[[#This Row],[內容]],"zh-cht","id")</f>
        <v>Potong bawang bombay menjadi irisan tipis dan tumis dengan api sedang-rendah hingga cokelat keemasan</v>
      </c>
    </row>
    <row r="62" spans="1:7" ht="17" x14ac:dyDescent="0.4">
      <c r="A62" s="24" t="str">
        <f>_xlfn.XLOOKUP(B62,表格1[ID],表格1[Dish])</f>
        <v>和風洋葱蛋花湯</v>
      </c>
      <c r="B62" s="1" t="s">
        <v>848</v>
      </c>
      <c r="C62" s="1">
        <v>2</v>
      </c>
      <c r="D62" s="5" t="s">
        <v>1080</v>
      </c>
      <c r="E62" s="24" t="str">
        <f>_xlfn.TRANSLATE(Steps[[#This Row],[內容]],"zh-cht","en")</f>
        <v>Bring water to a boil, add the soup dumplings and cook for 5 minutes, then remove the broth packets</v>
      </c>
      <c r="F62" s="24" t="str">
        <f>_xlfn.TRANSLATE(Steps[[#This Row],[內容]],"zh-cht","fil")</f>
        <v>Pakuluan ang tubig, idagdag ang soup dumplings at lutuin ng 5 minuto, pagkatapos ay alisin ang mga pakete ng sabaw</v>
      </c>
      <c r="G62" s="24" t="str">
        <f>_xlfn.TRANSLATE(Steps[[#This Row],[內容]],"zh-cht","id")</f>
        <v>Didihkan air, tambahkan pangsit sup dan masak selama 5 menit, lalu keluarkan bungkus kaldu</v>
      </c>
    </row>
    <row r="63" spans="1:7" ht="17" x14ac:dyDescent="0.4">
      <c r="A63" s="24" t="str">
        <f>_xlfn.XLOOKUP(B63,表格1[ID],表格1[Dish])</f>
        <v>和風洋葱蛋花湯</v>
      </c>
      <c r="B63" s="1" t="s">
        <v>848</v>
      </c>
      <c r="C63" s="1">
        <v>3</v>
      </c>
      <c r="D63" s="2" t="s">
        <v>1081</v>
      </c>
      <c r="E63" s="24" t="str">
        <f>_xlfn.TRANSLATE(Steps[[#This Row],[內容]],"zh-cht","en")</f>
        <v>Crack in the egg mixture and season with salt and black pepper</v>
      </c>
      <c r="F63" s="24" t="str">
        <f>_xlfn.TRANSLATE(Steps[[#This Row],[內容]],"zh-cht","fil")</f>
        <v>Basagin ang halo ng itlog at timplahan ng asin at itim na paminta</v>
      </c>
      <c r="G63" s="24" t="str">
        <f>_xlfn.TRANSLATE(Steps[[#This Row],[內容]],"zh-cht","id")</f>
        <v>Pecahkan campuran telur dan bumbui dengan garam serta lada hitam</v>
      </c>
    </row>
    <row r="64" spans="1:7" ht="17" x14ac:dyDescent="0.4">
      <c r="A64" s="24" t="str">
        <f>_xlfn.XLOOKUP(B64,表格1[ID],表格1[Dish])</f>
        <v>梅汁涼拌秋葵</v>
      </c>
      <c r="B64" s="1" t="s">
        <v>793</v>
      </c>
      <c r="C64" s="1">
        <v>1</v>
      </c>
      <c r="D64" s="2" t="s">
        <v>1082</v>
      </c>
      <c r="E64" s="24" t="str">
        <f>_xlfn.TRANSLATE(Steps[[#This Row],[內容]],"zh-cht","en")</f>
        <v>Sprinkle a handful of salt on the anvil, place the okra on top, and roll it by hand to remove fine fuzz. Next, wash the okra and use a knife to remove the outer skin from the edges of the stem</v>
      </c>
      <c r="F64" s="24" t="str">
        <f>_xlfn.TRANSLATE(Steps[[#This Row],[內容]],"zh-cht","fil")</f>
        <v>Budburan ng ilang dakot ng asin ang anvil, ilagay ang okra sa ibabaw, at igulong ito nang mano-mano para matanggal ang pinong balahibo. Sunod, hugasan ang okra at gamitin ang kutsilyo para tanggalin ang panlabas na balat sa gilid ng tangkay</v>
      </c>
      <c r="G64" s="24" t="str">
        <f>_xlfn.TRANSLATE(Steps[[#This Row],[內容]],"zh-cht","id")</f>
        <v>Taburkan segenggam garam di landasan, letakkan okra di atasnya, dan gulung dengan tangan untuk menghilangkan bulu halus. Selanjutnya, cuci okra dan gunakan pisau untuk menghilangkan kulit luar dari tepi batang</v>
      </c>
    </row>
    <row r="65" spans="1:7" ht="17" x14ac:dyDescent="0.4">
      <c r="A65" s="24" t="str">
        <f>_xlfn.XLOOKUP(B65,表格1[ID],表格1[Dish])</f>
        <v>梅汁涼拌秋葵</v>
      </c>
      <c r="B65" s="1" t="s">
        <v>793</v>
      </c>
      <c r="C65" s="1">
        <v>2</v>
      </c>
      <c r="D65" s="2" t="s">
        <v>1083</v>
      </c>
      <c r="E65" s="24" t="str">
        <f>_xlfn.TRANSLATE(Steps[[#This Row],[內容]],"zh-cht","en")</f>
        <v>Boil in hot water for 3 minutes, then chill in ice water after removing from heat</v>
      </c>
      <c r="F65" s="24" t="str">
        <f>_xlfn.TRANSLATE(Steps[[#This Row],[內容]],"zh-cht","fil")</f>
        <v>Pakuluan sa mainit na tubig ng 3 minuto, pagkatapos ay palamigin sa malamig na tubig pagkatapos alisin sa apoy</v>
      </c>
      <c r="G65" s="24" t="str">
        <f>_xlfn.TRANSLATE(Steps[[#This Row],[內容]],"zh-cht","id")</f>
        <v>Didihkan dalam air panas selama 3 menit, lalu dinginkan dalam air es setelah diangkat dari api</v>
      </c>
    </row>
    <row r="66" spans="1:7" ht="17" x14ac:dyDescent="0.4">
      <c r="A66" s="24" t="str">
        <f>_xlfn.XLOOKUP(B66,表格1[ID],表格1[Dish])</f>
        <v>梅汁涼拌秋葵</v>
      </c>
      <c r="B66" s="1" t="s">
        <v>793</v>
      </c>
      <c r="C66" s="1">
        <v>3</v>
      </c>
      <c r="D66" s="2" t="s">
        <v>1084</v>
      </c>
      <c r="E66" s="24" t="str">
        <f>_xlfn.TRANSLATE(Steps[[#This Row],[內容]],"zh-cht","en")</f>
        <v>Drizzle with plum juice and soy sauce to finish (the syrup in store-bought pickled plum jars can be used to make it).</v>
      </c>
      <c r="F66" s="24" t="str">
        <f>_xlfn.TRANSLATE(Steps[[#This Row],[內容]],"zh-cht","fil")</f>
        <v>Budburan ng katas ng plum at toyo bilang pangwakas (ang syrup sa mga pickled plum jar na binibili sa tindahan ay maaaring gamitin para gawin ito).</v>
      </c>
      <c r="G66" s="24" t="str">
        <f>_xlfn.TRANSLATE(Steps[[#This Row],[內容]],"zh-cht","id")</f>
        <v>Siram dengan jus plum dan kecap asin untuk melengkapi (sirup dalam toples plum acar yang dibeli di toko bisa digunakan untuk membuatnya).</v>
      </c>
    </row>
    <row r="67" spans="1:7" ht="17" x14ac:dyDescent="0.4">
      <c r="A67" s="24" t="str">
        <f>_xlfn.XLOOKUP(B67,表格1[ID],表格1[Dish])</f>
        <v>野菜炒豬肉</v>
      </c>
      <c r="B67" s="1" t="s">
        <v>731</v>
      </c>
      <c r="C67" s="1">
        <v>1</v>
      </c>
      <c r="D67" s="5" t="s">
        <v>1098</v>
      </c>
      <c r="E67" s="24" t="str">
        <f>_xlfn.TRANSLATE(Steps[[#This Row],[內容]],"zh-cht","en")</f>
        <v>Marinate the pork slices with 2 teaspoons of light soy sauce, peel the cabbage into small pieces, slice the carrot, cut the scallion into sections, and slice the garlic for later use.</v>
      </c>
      <c r="F67" s="24" t="str">
        <f>_xlfn.TRANSLATE(Steps[[#This Row],[內容]],"zh-cht","fil")</f>
        <v>I-marinate ang mga hiwa ng baboy gamit ang 2 kutsarita ng magaan na toyo, balatan ang repolyo sa maliliit na piraso, hiwain ang karot, hiwain ang scallion sa mga bahagi, at hiwain ang bawang para magamit sa susunod.</v>
      </c>
      <c r="G67" s="24" t="str">
        <f>_xlfn.TRANSLATE(Steps[[#This Row],[內容]],"zh-cht","id")</f>
        <v>Marinasi irisan babi dengan 2 sendok teh kecap asin ringan, kupas kubis menjadi potongan-potongan kecil, iris wortel, potong daun bawang menjadi beberapa bagian, dan iris bawang putih untuk digunakan nanti.</v>
      </c>
    </row>
    <row r="68" spans="1:7" ht="17" x14ac:dyDescent="0.4">
      <c r="A68" s="24" t="str">
        <f>_xlfn.XLOOKUP(B68,表格1[ID],表格1[Dish])</f>
        <v>野菜炒豬肉</v>
      </c>
      <c r="B68" s="1" t="s">
        <v>731</v>
      </c>
      <c r="C68" s="1">
        <v>2</v>
      </c>
      <c r="D68" s="2" t="s">
        <v>1096</v>
      </c>
      <c r="E68" s="24" t="str">
        <f>_xlfn.TRANSLATE(Steps[[#This Row],[內容]],"zh-cht","en")</f>
        <v>Heat a pan with an appropriate amount of sesame oil, then add the pork slices and stir-fry until cooked</v>
      </c>
      <c r="F68" s="24" t="str">
        <f>_xlfn.TRANSLATE(Steps[[#This Row],[內容]],"zh-cht","fil")</f>
        <v>Painitin ang kawali na may tamang dami ng sesame oil, pagkatapos idagdag ang mga hiwa ng baboy at igisa hanggang maluto</v>
      </c>
      <c r="G68" s="24" t="str">
        <f>_xlfn.TRANSLATE(Steps[[#This Row],[內容]],"zh-cht","id")</f>
        <v>Panaskan wajan dengan minyak wijen yang sesuai, lalu tambahkan irisan babi dan tumis sampai matang</v>
      </c>
    </row>
    <row r="69" spans="1:7" ht="17" x14ac:dyDescent="0.4">
      <c r="A69" s="24" t="str">
        <f>_xlfn.XLOOKUP(B69,表格1[ID],表格1[Dish])</f>
        <v>野菜炒豬肉</v>
      </c>
      <c r="B69" s="1" t="s">
        <v>731</v>
      </c>
      <c r="C69" s="1">
        <v>3</v>
      </c>
      <c r="D69" s="2" t="s">
        <v>1097</v>
      </c>
      <c r="E69" s="24" t="str">
        <f>_xlfn.TRANSLATE(Steps[[#This Row],[內容]],"zh-cht","en")</f>
        <v>Add cabbage and carrot slices and stir-fry until soft</v>
      </c>
      <c r="F69" s="24" t="str">
        <f>_xlfn.TRANSLATE(Steps[[#This Row],[內容]],"zh-cht","fil")</f>
        <v>Idagdag ang hiwa ng repolyo at karot at igisa hanggang lumambot</v>
      </c>
      <c r="G69" s="24" t="str">
        <f>_xlfn.TRANSLATE(Steps[[#This Row],[內容]],"zh-cht","id")</f>
        <v>Tambahkan irisan kubis dan wortel lalu tumis hingga lunak</v>
      </c>
    </row>
    <row r="70" spans="1:7" ht="17" x14ac:dyDescent="0.4">
      <c r="A70" s="24" t="str">
        <f>_xlfn.XLOOKUP(B70,表格1[ID],表格1[Dish])</f>
        <v>野菜炒豬肉</v>
      </c>
      <c r="B70" s="1" t="s">
        <v>731</v>
      </c>
      <c r="C70" s="1">
        <v>4</v>
      </c>
      <c r="D70" s="2" t="s">
        <v>1099</v>
      </c>
      <c r="E70" s="24" t="str">
        <f>_xlfn.TRANSLATE(Steps[[#This Row],[內容]],"zh-cht","en")</f>
        <v>Add the bean sprouts, scallion sections, and garlic slices, and stir-fry</v>
      </c>
      <c r="F70" s="24" t="str">
        <f>_xlfn.TRANSLATE(Steps[[#This Row],[內容]],"zh-cht","fil")</f>
        <v>Idagdag ang bean sprouts, seksyon ng scallion, at hiwa ng bawang, at igisa</v>
      </c>
      <c r="G70" s="24" t="str">
        <f>_xlfn.TRANSLATE(Steps[[#This Row],[內容]],"zh-cht","id")</f>
        <v>Tambahkan tauge, bagian daun bawang, dan irisan bawang putih, lalu tumis</v>
      </c>
    </row>
    <row r="71" spans="1:7" ht="17" x14ac:dyDescent="0.4">
      <c r="A71" s="24" t="str">
        <f>_xlfn.XLOOKUP(B71,表格1[ID],表格1[Dish])</f>
        <v>野菜炒豬肉</v>
      </c>
      <c r="B71" s="1" t="s">
        <v>731</v>
      </c>
      <c r="C71" s="1">
        <v>5</v>
      </c>
      <c r="D71" s="2" t="s">
        <v>1100</v>
      </c>
      <c r="E71" s="24" t="str">
        <f>_xlfn.TRANSLATE(Steps[[#This Row],[內容]],"zh-cht","en")</f>
        <v>Add the seasoning. Taste it</v>
      </c>
      <c r="F71" s="24" t="str">
        <f>_xlfn.TRANSLATE(Steps[[#This Row],[內容]],"zh-cht","fil")</f>
        <v>Idagdag ang pampalasa. Tikman mo</v>
      </c>
      <c r="G71" s="24" t="str">
        <f>_xlfn.TRANSLATE(Steps[[#This Row],[內容]],"zh-cht","id")</f>
        <v>Tambahkan bumbu. Cicipi</v>
      </c>
    </row>
    <row r="72" spans="1:7" x14ac:dyDescent="0.4">
      <c r="A72" s="24" t="str">
        <f>_xlfn.XLOOKUP(B72,表格1[ID],表格1[Dish])</f>
        <v>拍青瓜</v>
      </c>
      <c r="B72" s="1" t="s">
        <v>141</v>
      </c>
      <c r="C72" s="1">
        <v>1</v>
      </c>
      <c r="D72" s="10" t="s">
        <v>1108</v>
      </c>
      <c r="E72" s="24" t="str">
        <f>_xlfn.TRANSLATE(Steps[[#This Row],[內容]],"zh-cht","en")</f>
        <v>Cut the cucumber into small sections and gently smash it with a knife.</v>
      </c>
      <c r="F72" s="24" t="str">
        <f>_xlfn.TRANSLATE(Steps[[#This Row],[內容]],"zh-cht","fil")</f>
        <v>Hiwain ang pipino sa maliliit na bahagi at dahan-dahang durugin gamit ang kutsilyo.</v>
      </c>
      <c r="G72" s="24" t="str">
        <f>_xlfn.TRANSLATE(Steps[[#This Row],[內容]],"zh-cht","id")</f>
        <v>Potong mentimun menjadi beberapa bagian kecil dan hancurkan dengan pisau dengan lembut.</v>
      </c>
    </row>
    <row r="73" spans="1:7" x14ac:dyDescent="0.4">
      <c r="A73" s="24" t="str">
        <f>_xlfn.XLOOKUP(B73,表格1[ID],表格1[Dish])</f>
        <v>拍青瓜</v>
      </c>
      <c r="B73" s="1" t="s">
        <v>141</v>
      </c>
      <c r="C73" s="1">
        <v>2</v>
      </c>
      <c r="D73" s="10" t="s">
        <v>1107</v>
      </c>
      <c r="E73" s="24" t="str">
        <f>_xlfn.TRANSLATE(Steps[[#This Row],[內容]],"zh-cht","en")</f>
        <v>Marinate with salt for 10 minutes, then pour over the cucumber water.</v>
      </c>
      <c r="F73" s="24" t="str">
        <f>_xlfn.TRANSLATE(Steps[[#This Row],[內容]],"zh-cht","fil")</f>
        <v>I-marinate gamit ang asin ng 10 minuto, pagkatapos ay ibuhos sa ibabaw ng tubig ng pipino.</v>
      </c>
      <c r="G73" s="24" t="str">
        <f>_xlfn.TRANSLATE(Steps[[#This Row],[內容]],"zh-cht","id")</f>
        <v>Rendam dengan garam selama 10 menit, lalu tuangkan di atas air mentimun.</v>
      </c>
    </row>
    <row r="74" spans="1:7" x14ac:dyDescent="0.4">
      <c r="A74" s="24" t="str">
        <f>_xlfn.XLOOKUP(B74,表格1[ID],表格1[Dish])</f>
        <v>拍青瓜</v>
      </c>
      <c r="B74" s="1" t="s">
        <v>141</v>
      </c>
      <c r="C74" s="1">
        <v>3</v>
      </c>
      <c r="D74" s="10" t="s">
        <v>1106</v>
      </c>
      <c r="E74" s="24" t="str">
        <f>_xlfn.TRANSLATE(Steps[[#This Row],[內容]],"zh-cht","en")</f>
        <v>Pour in the seasonings and stir, then add them to the cucumber.</v>
      </c>
      <c r="F74" s="24" t="str">
        <f>_xlfn.TRANSLATE(Steps[[#This Row],[內容]],"zh-cht","fil")</f>
        <v>Ibuhos ang mga pampalasa at haluin, pagkatapos idagdag sa pipino.</v>
      </c>
      <c r="G74" s="24" t="str">
        <f>_xlfn.TRANSLATE(Steps[[#This Row],[內容]],"zh-cht","id")</f>
        <v>Tuangkan bumbu dan aduk, lalu tambahkan ke mentimun.</v>
      </c>
    </row>
    <row r="75" spans="1:7" x14ac:dyDescent="0.4">
      <c r="A75" s="24" t="str">
        <f>_xlfn.XLOOKUP(B75,表格1[ID],表格1[Dish])</f>
        <v>涼伴雞絲</v>
      </c>
      <c r="B75" s="1" t="s">
        <v>142</v>
      </c>
      <c r="C75" s="1">
        <v>1</v>
      </c>
      <c r="D75" s="10" t="s">
        <v>1123</v>
      </c>
      <c r="E75" s="24" t="str">
        <f>_xlfn.TRANSLATE(Steps[[#This Row],[內容]],"zh-cht","en")</f>
        <v>Steam the chicken, let it cool, and tear it into strips by hand.</v>
      </c>
      <c r="F75" s="24" t="str">
        <f>_xlfn.TRANSLATE(Steps[[#This Row],[內容]],"zh-cht","fil")</f>
        <v>I-steam ang manok, hayaan itong lumamig, at punitin ito sa mga piraso gamit ang kamay.</v>
      </c>
      <c r="G75" s="24" t="str">
        <f>_xlfn.TRANSLATE(Steps[[#This Row],[內容]],"zh-cht","id")</f>
        <v>Kukus ayam, biarkan dingin, lalu sobek menjadi strip dengan tangan.</v>
      </c>
    </row>
    <row r="76" spans="1:7" x14ac:dyDescent="0.4">
      <c r="A76" s="24" t="str">
        <f>_xlfn.XLOOKUP(B76,表格1[ID],表格1[Dish])</f>
        <v>涼伴雞絲</v>
      </c>
      <c r="B76" s="1" t="s">
        <v>142</v>
      </c>
      <c r="C76" s="1">
        <v>2</v>
      </c>
      <c r="D76" s="10" t="s">
        <v>1122</v>
      </c>
      <c r="E76" s="24" t="str">
        <f>_xlfn.TRANSLATE(Steps[[#This Row],[內容]],"zh-cht","en")</f>
        <v>Stir-fry five-spice powder and salt (or use pepper salt) in a white wok until fragrant.</v>
      </c>
      <c r="F76" s="24" t="str">
        <f>_xlfn.TRANSLATE(Steps[[#This Row],[內容]],"zh-cht","fil")</f>
        <v>I-stir fry ang five-spice powder at asin (o gumamit ng pepper salt) sa puting wok hanggang maging mabango.</v>
      </c>
      <c r="G76" s="24" t="str">
        <f>_xlfn.TRANSLATE(Steps[[#This Row],[內容]],"zh-cht","id")</f>
        <v>Tumis bubuk lima bumbu dan garam (atau gunakan garam merica) dalam wajan putih hingga harum.</v>
      </c>
    </row>
    <row r="77" spans="1:7" x14ac:dyDescent="0.4">
      <c r="A77" s="24" t="str">
        <f>_xlfn.XLOOKUP(B77,表格1[ID],表格1[Dish])</f>
        <v>涼伴雞絲</v>
      </c>
      <c r="B77" s="1" t="s">
        <v>142</v>
      </c>
      <c r="C77" s="1">
        <v>3</v>
      </c>
      <c r="D77" s="10" t="s">
        <v>1121</v>
      </c>
      <c r="E77" s="24" t="str">
        <f>_xlfn.TRANSLATE(Steps[[#This Row],[內容]],"zh-cht","en")</f>
        <v>Mix the sautéed flour with chicken bouillon powder and shredded chicken, then refrigerate.</v>
      </c>
      <c r="F77" s="24" t="str">
        <f>_xlfn.TRANSLATE(Steps[[#This Row],[內容]],"zh-cht","fil")</f>
        <v>Ihalo ang ginisa na harina sa chicken bouillon powder at shredded chicken, pagkatapos ay ilagay sa refrigerator.</v>
      </c>
      <c r="G77" s="24" t="str">
        <f>_xlfn.TRANSLATE(Steps[[#This Row],[內容]],"zh-cht","id")</f>
        <v>Campurkan tepung tumis dengan bubuk kaldu ayam dan ayam parut, lalu simpan di kulkas.</v>
      </c>
    </row>
    <row r="78" spans="1:7" x14ac:dyDescent="0.4">
      <c r="A78" s="24" t="str">
        <f>_xlfn.XLOOKUP(B78,表格1[ID],表格1[Dish])</f>
        <v>涼伴雞絲</v>
      </c>
      <c r="B78" s="1" t="s">
        <v>142</v>
      </c>
      <c r="C78" s="1">
        <v>4</v>
      </c>
      <c r="D78" s="10" t="s">
        <v>1120</v>
      </c>
      <c r="E78" s="24" t="str">
        <f>_xlfn.TRANSLATE(Steps[[#This Row],[內容]],"zh-cht","en")</f>
        <v>Before serving, pour in sesame oil and white sesame seeds for garnish.</v>
      </c>
      <c r="F78" s="24" t="str">
        <f>_xlfn.TRANSLATE(Steps[[#This Row],[內容]],"zh-cht","fil")</f>
        <v>Bago ihain, ibuhos ang langis ng linga at puting buto ng linga bilang palamuti.</v>
      </c>
      <c r="G78" s="24" t="str">
        <f>_xlfn.TRANSLATE(Steps[[#This Row],[內容]],"zh-cht","id")</f>
        <v>Sebelum disajikan, tuangkan minyak wijen dan biji wijen putih sebagai hiasan.</v>
      </c>
    </row>
    <row r="79" spans="1:7" x14ac:dyDescent="0.4">
      <c r="A79" s="24" t="str">
        <f>_xlfn.XLOOKUP(B79,表格1[ID],表格1[Dish])</f>
        <v>薑汁撞奶</v>
      </c>
      <c r="B79" s="1" t="s">
        <v>147</v>
      </c>
      <c r="C79" s="1">
        <v>1</v>
      </c>
      <c r="D79" s="10" t="s">
        <v>1127</v>
      </c>
      <c r="E79" s="24" t="str">
        <f>_xlfn.TRANSLATE(Steps[[#This Row],[內容]],"zh-cht","en")</f>
        <v>Use the bowl to hold the milk, measure the milk, and grind ginger juice for later use.</v>
      </c>
      <c r="F79" s="24" t="str">
        <f>_xlfn.TRANSLATE(Steps[[#This Row],[內容]],"zh-cht","fil")</f>
        <v>Gamitin ang mangkok para hawakan ang gatas, sukatin ang gatas, at gilingin ang katas ng luya para magamit sa susunod.</v>
      </c>
      <c r="G79" s="24" t="str">
        <f>_xlfn.TRANSLATE(Steps[[#This Row],[內容]],"zh-cht","id")</f>
        <v>Gunakan mangkuk untuk menahan susu, mengukur susu, dan menggiling jus jahe untuk digunakan nanti.</v>
      </c>
    </row>
    <row r="80" spans="1:7" x14ac:dyDescent="0.4">
      <c r="A80" s="24" t="str">
        <f>_xlfn.XLOOKUP(B80,表格1[ID],表格1[Dish])</f>
        <v>薑汁撞奶</v>
      </c>
      <c r="B80" s="1" t="s">
        <v>147</v>
      </c>
      <c r="C80" s="1">
        <v>2</v>
      </c>
      <c r="D80" s="10" t="s">
        <v>1126</v>
      </c>
      <c r="E80" s="24" t="str">
        <f>_xlfn.TRANSLATE(Steps[[#This Row],[內容]],"zh-cht","en")</f>
        <v>When boiling milk, use medium-low heat. Be careful not to boil it, stirring constantly until small bubbles appear on the edges.</v>
      </c>
      <c r="F80" s="24" t="str">
        <f>_xlfn.TRANSLATE(Steps[[#This Row],[內容]],"zh-cht","fil")</f>
        <v>Kapag nagpapakulo ng gatas, gumamit ng medium-low na init. Mag-ingat na huwag ito pakuluan, patuloy na haluin hanggang lumitaw ang maliliit na bula sa mga gilid.</v>
      </c>
      <c r="G80" s="24" t="str">
        <f>_xlfn.TRANSLATE(Steps[[#This Row],[內容]],"zh-cht","id")</f>
        <v>Saat merebus susu, gunakan api sedang-rendah. Hati-hati agar tidak merebus, aduk terus-menerus hingga muncul gelembung kecil di tepinya.</v>
      </c>
    </row>
    <row r="81" spans="1:7" x14ac:dyDescent="0.4">
      <c r="A81" s="24" t="str">
        <f>_xlfn.XLOOKUP(B81,表格1[ID],表格1[Dish])</f>
        <v>薑汁撞奶</v>
      </c>
      <c r="B81" s="1" t="s">
        <v>147</v>
      </c>
      <c r="C81" s="1">
        <v>3</v>
      </c>
      <c r="D81" s="10" t="s">
        <v>1125</v>
      </c>
      <c r="E81" s="24" t="str">
        <f>_xlfn.TRANSLATE(Steps[[#This Row],[內容]],"zh-cht","en")</f>
        <v>Pour the cooked milk into a cold pot and pour it back and forth ten times.</v>
      </c>
      <c r="F81" s="24" t="str">
        <f>_xlfn.TRANSLATE(Steps[[#This Row],[內容]],"zh-cht","fil")</f>
        <v>Ibuhos ang nilutong gatas sa malamig na kaldero at ibuhos ito nang paulit-ulit ng sampung beses.</v>
      </c>
      <c r="G81" s="24" t="str">
        <f>_xlfn.TRANSLATE(Steps[[#This Row],[內容]],"zh-cht","id")</f>
        <v>Tuang susu yang sudah matang ke dalam panci dingin dan tuangkan bolak-balik sepuluh kali.</v>
      </c>
    </row>
    <row r="82" spans="1:7" x14ac:dyDescent="0.4">
      <c r="A82" s="24" t="str">
        <f>_xlfn.XLOOKUP(B82,表格1[ID],表格1[Dish])</f>
        <v>薑汁撞奶</v>
      </c>
      <c r="B82" s="1" t="s">
        <v>147</v>
      </c>
      <c r="C82" s="1">
        <v>4</v>
      </c>
      <c r="D82" s="10" t="s">
        <v>1124</v>
      </c>
      <c r="E82" s="24" t="str">
        <f>_xlfn.TRANSLATE(Steps[[#This Row],[內容]],"zh-cht","en")</f>
        <v>Divide the ginger juice into a bowl, pour the milk into it, and let it rest for at least 1 minute to finish.</v>
      </c>
      <c r="F82" s="24" t="str">
        <f>_xlfn.TRANSLATE(Steps[[#This Row],[內容]],"zh-cht","fil")</f>
        <v>Hatiin ang katas ng luya sa isang mangkok, ibuhos ang gatas dito, at hayaang magpahinga ng hindi bababa sa 1 minuto para matapos.</v>
      </c>
      <c r="G82" s="24" t="str">
        <f>_xlfn.TRANSLATE(Steps[[#This Row],[內容]],"zh-cht","id")</f>
        <v>Bagi jus jahe ke dalam mangkuk, tuangkan susu ke dalamnya, dan biarkan istirahat setidaknya 1 menit agar selesai.</v>
      </c>
    </row>
    <row r="83" spans="1:7" x14ac:dyDescent="0.4">
      <c r="A83" s="24" t="str">
        <f>_xlfn.XLOOKUP(B83,表格1[ID],表格1[Dish])</f>
        <v>洋葱豬排</v>
      </c>
      <c r="B83" s="1" t="s">
        <v>148</v>
      </c>
      <c r="C83" s="1">
        <v>1</v>
      </c>
      <c r="D83" s="10" t="s">
        <v>1131</v>
      </c>
      <c r="E83" s="24" t="str">
        <f>_xlfn.TRANSLATE(Steps[[#This Row],[內容]],"zh-cht","en")</f>
        <v>Soak the pork chops in salt water for about half an hour to absorb the blood and odor, then dry them.</v>
      </c>
      <c r="F83" s="24" t="str">
        <f>_xlfn.TRANSLATE(Steps[[#This Row],[內容]],"zh-cht","fil")</f>
        <v>Ibabad ang pork chops sa maalat na tubig ng mga kalahating oras para masipsip ang dugo at amoy, pagkatapos ay patuyuin ang mga ito.</v>
      </c>
      <c r="G83" s="24" t="str">
        <f>_xlfn.TRANSLATE(Steps[[#This Row],[內容]],"zh-cht","id")</f>
        <v>Rendam daging babi dalam air garam selama sekitar setengah jam untuk menyerap darah dan bau, lalu keringkan.</v>
      </c>
    </row>
    <row r="84" spans="1:7" ht="31" x14ac:dyDescent="0.4">
      <c r="A84" s="24" t="str">
        <f>_xlfn.XLOOKUP(B84,表格1[ID],表格1[Dish])</f>
        <v>洋葱豬排</v>
      </c>
      <c r="B84" s="1" t="s">
        <v>148</v>
      </c>
      <c r="C84" s="1">
        <v>2</v>
      </c>
      <c r="D84" s="10" t="s">
        <v>1132</v>
      </c>
      <c r="E84" s="24" t="str">
        <f>_xlfn.TRANSLATE(Steps[[#This Row],[內容]],"zh-cht","en")</f>
        <v>Put the dried pork chops into marinade (A) (egg, salt, sugar, light soy sauce, ginger juice, pepper, cornstarch, flour) and massage for 1 minute, then refrigerate for 4 hours.</v>
      </c>
      <c r="F84" s="24" t="str">
        <f>_xlfn.TRANSLATE(Steps[[#This Row],[內容]],"zh-cht","fil")</f>
        <v>Ilagay ang pinatuyong pork chops sa marinade (A) (itlog, asin, asukal, magaan na toyo, luya, paminta, cornstarch, harina) at imasahe ng 1 minuto, pagkatapos ay ilagay sa refrigerator ng 4 na oras.</v>
      </c>
      <c r="G84" s="24" t="str">
        <f>_xlfn.TRANSLATE(Steps[[#This Row],[內容]],"zh-cht","id")</f>
        <v>Masukkan daging babi kering ke dalam marinasi (A) (telur, garam, gula, kecap asin ringan, jus jahe, lada, tepung jagung, tepung) lalu pijat selama 1 menit, lalu simpan di lemari es selama 4 jam.</v>
      </c>
    </row>
    <row r="85" spans="1:7" x14ac:dyDescent="0.4">
      <c r="A85" s="24" t="str">
        <f>_xlfn.XLOOKUP(B85,表格1[ID],表格1[Dish])</f>
        <v>洋葱豬排</v>
      </c>
      <c r="B85" s="1" t="s">
        <v>148</v>
      </c>
      <c r="C85" s="1">
        <v>3</v>
      </c>
      <c r="D85" s="10" t="s">
        <v>1133</v>
      </c>
      <c r="E85" s="24" t="str">
        <f>_xlfn.TRANSLATE(Steps[[#This Row],[內容]],"zh-cht","en")</f>
        <v>Pan-fry the pork chop over medium heat, and when it's almost done, turn up the heat to lock it tightly. Set aside.</v>
      </c>
      <c r="F85" s="24" t="str">
        <f>_xlfn.TRANSLATE(Steps[[#This Row],[內容]],"zh-cht","fil")</f>
        <v>Iprito ang pork chop sa katamtamang init, at kapag malapit nang luto, itaas ang apoy para mahigpit na ma-lock. Itabi mo.</v>
      </c>
      <c r="G85" s="24" t="str">
        <f>_xlfn.TRANSLATE(Steps[[#This Row],[內容]],"zh-cht","id")</f>
        <v>Goreng daging babi dengan api sedang, dan saat hampir matang, naikkan api agar terkunci rapat. Sisihkan.</v>
      </c>
    </row>
    <row r="86" spans="1:7" ht="31" x14ac:dyDescent="0.4">
      <c r="A86" s="24" t="str">
        <f>_xlfn.XLOOKUP(B86,表格1[ID],表格1[Dish])</f>
        <v>洋葱豬排</v>
      </c>
      <c r="B86" s="1" t="s">
        <v>148</v>
      </c>
      <c r="C86" s="1">
        <v>4</v>
      </c>
      <c r="D86" s="10" t="s">
        <v>1134</v>
      </c>
      <c r="E86" s="24" t="str">
        <f>_xlfn.TRANSLATE(Steps[[#This Row],[內容]],"zh-cht","en")</f>
        <v>Cut the onion into strips, sauté over medium heat for 1 minute, add minced garlic, then add the sauce (B) (salt, sugar, tomato sauce, sauce, light soy sauce, black pepper; add the sauce at the latest). Once done, pour it into the pork chop.</v>
      </c>
      <c r="F86" s="24" t="str">
        <f>_xlfn.TRANSLATE(Steps[[#This Row],[內容]],"zh-cht","fil")</f>
        <v>Hiwain ang sibuyas sa mga piraso, igisa sa katamtamang init ng 1 minuto, idagdag ang tinadtad na bawang, pagkatapos ay idagdag ang sarsa (B) (asin, asukal, sarsa ng kamatis, sarsa, magaan na toyo, itim na paminta; idagdag ang sarsa sa pinakahuli). Kapag luto, ibuhos ito sa pork chop.</v>
      </c>
      <c r="G86" s="24" t="str">
        <f>_xlfn.TRANSLATE(Steps[[#This Row],[內容]],"zh-cht","id")</f>
        <v>Potong bawang bombay menjadi potongan-potongan, tumis dengan api sedang selama 1 menit, tambahkan bawang putih cincang, lalu tambahkan saus (B) (garam, gula, saus tomat, saus, kecap ringan, lada hitam; tambahkan saus paling lambat). Setelah matang, tuangkan ke dalam daging babi.</v>
      </c>
    </row>
    <row r="87" spans="1:7" ht="17" x14ac:dyDescent="0.4">
      <c r="A87" s="24" t="str">
        <f>_xlfn.XLOOKUP(B87,表格1[ID],表格1[Dish])</f>
        <v>甜椒櫛瓜味噌豬五花</v>
      </c>
      <c r="B87" s="1" t="s">
        <v>729</v>
      </c>
      <c r="C87" s="1">
        <v>1</v>
      </c>
      <c r="D87" s="5" t="s">
        <v>1166</v>
      </c>
      <c r="E87" s="24" t="str">
        <f>_xlfn.TRANSLATE(Steps[[#This Row],[內容]],"zh-cht","en")</f>
        <v>Cut the bell peppers and zucchini into small pieces and set aside</v>
      </c>
      <c r="F87" s="24" t="str">
        <f>_xlfn.TRANSLATE(Steps[[#This Row],[內容]],"zh-cht","fil")</f>
        <v>Hiwain ang bell pepper at zucchini sa maliliit na piraso at itabi</v>
      </c>
      <c r="G87" s="24" t="str">
        <f>_xlfn.TRANSLATE(Steps[[#This Row],[內容]],"zh-cht","id")</f>
        <v>Potong paprika dan zucchini menjadi potongan kecil lalu sisihkan</v>
      </c>
    </row>
    <row r="88" spans="1:7" ht="17" x14ac:dyDescent="0.4">
      <c r="A88" s="24" t="str">
        <f>_xlfn.XLOOKUP(B88,表格1[ID],表格1[Dish])</f>
        <v>甜椒櫛瓜味噌豬五花</v>
      </c>
      <c r="B88" s="1" t="s">
        <v>729</v>
      </c>
      <c r="C88" s="1">
        <v>2</v>
      </c>
      <c r="D88" s="2" t="s">
        <v>1167</v>
      </c>
      <c r="E88" s="24" t="str">
        <f>_xlfn.TRANSLATE(Steps[[#This Row],[內容]],"zh-cht","en")</f>
        <v>After mixing the seasonings evenly, mix them well with the pork belly slices. You can marinate them in advance for ice or freezing</v>
      </c>
      <c r="F88" s="24" t="str">
        <f>_xlfn.TRANSLATE(Steps[[#This Row],[內容]],"zh-cht","fil")</f>
        <v>Pagkatapos pantay-pantay na paghaluin ang mga pampalasa, haluin nang mabuti sa mga hiwa ng pork belly. Maaari mo itong i-marinate nang maaga para sa yelo o pagyeyelo</v>
      </c>
      <c r="G88" s="24" t="str">
        <f>_xlfn.TRANSLATE(Steps[[#This Row],[內容]],"zh-cht","id")</f>
        <v>Setelah bumbu dicampur merata, campurkan rata dengan irisan perut babi. Anda bisa memarinasinya sebelumnya untuk es atau pembekuan</v>
      </c>
    </row>
    <row r="89" spans="1:7" ht="17" x14ac:dyDescent="0.4">
      <c r="A89" s="24" t="str">
        <f>_xlfn.XLOOKUP(B89,表格1[ID],表格1[Dish])</f>
        <v>甜椒櫛瓜味噌豬五花</v>
      </c>
      <c r="B89" s="1" t="s">
        <v>729</v>
      </c>
      <c r="C89" s="1">
        <v>3</v>
      </c>
      <c r="D89" s="2" t="s">
        <v>1168</v>
      </c>
      <c r="E89" s="24" t="str">
        <f>_xlfn.TRANSLATE(Steps[[#This Row],[內容]],"zh-cht","en")</f>
        <v>Heat a small amount of oil in a pan, then add the bell peppers and zucchini, stir-fry until cooked, then sprinkle with a pinch of salt to taste</v>
      </c>
      <c r="F89" s="24" t="str">
        <f>_xlfn.TRANSLATE(Steps[[#This Row],[內容]],"zh-cht","fil")</f>
        <v>Painitin ang kaunting mantika sa kawali, pagkatapos idagdag ang bell peppers at zucchini, igisa hanggang maluto, pagkatapos budburan ng kaunting asin ayon sa panlasa</v>
      </c>
      <c r="G89" s="24" t="str">
        <f>_xlfn.TRANSLATE(Steps[[#This Row],[內容]],"zh-cht","id")</f>
        <v>Panaskan sedikit minyak di wajan, lalu tambahkan paprika dan zucchini, tumis sampai matang, lalu taburi sedikit garam sesuai selera</v>
      </c>
    </row>
    <row r="90" spans="1:7" ht="17" x14ac:dyDescent="0.4">
      <c r="A90" s="24" t="str">
        <f>_xlfn.XLOOKUP(B90,表格1[ID],表格1[Dish])</f>
        <v>甜椒櫛瓜味噌豬五花</v>
      </c>
      <c r="B90" s="1" t="s">
        <v>729</v>
      </c>
      <c r="C90" s="1">
        <v>4</v>
      </c>
      <c r="D90" s="2" t="s">
        <v>1169</v>
      </c>
      <c r="E90" s="24" t="str">
        <f>_xlfn.TRANSLATE(Steps[[#This Row],[內容]],"zh-cht","en")</f>
        <v>Add the pork belly slices to the pan and stir-fry until cooked</v>
      </c>
      <c r="F90" s="24" t="str">
        <f>_xlfn.TRANSLATE(Steps[[#This Row],[內容]],"zh-cht","fil")</f>
        <v>Idagdag ang mga hiwa ng pork belly sa kawali at igisa hanggang maluto</v>
      </c>
      <c r="G90" s="24" t="str">
        <f>_xlfn.TRANSLATE(Steps[[#This Row],[內容]],"zh-cht","id")</f>
        <v>Masukkan irisan perut babi ke wajan dan tumis sampai matang</v>
      </c>
    </row>
    <row r="91" spans="1:7" ht="17" x14ac:dyDescent="0.4">
      <c r="A91" s="24" t="str">
        <f>_xlfn.XLOOKUP(B91,表格1[ID],表格1[Dish])</f>
        <v>塔香野菇炒粟米仔</v>
      </c>
      <c r="B91" s="1" t="s">
        <v>796</v>
      </c>
      <c r="C91" s="1">
        <v>1</v>
      </c>
      <c r="D91" s="2" t="s">
        <v>1179</v>
      </c>
      <c r="E91" s="24" t="str">
        <f>_xlfn.TRANSLATE(Steps[[#This Row],[內容]],"zh-cht","en")</f>
        <v>Cut the mushrooms into appropriate sizes, and cut the millet into small sections</v>
      </c>
      <c r="F91" s="24" t="str">
        <f>_xlfn.TRANSLATE(Steps[[#This Row],[內容]],"zh-cht","fil")</f>
        <v>Hiwain ang kabute sa tamang sukat, at hiwain ang millet sa maliliit na bahagi</v>
      </c>
      <c r="G91" s="24" t="str">
        <f>_xlfn.TRANSLATE(Steps[[#This Row],[內容]],"zh-cht","id")</f>
        <v>Potong jamur dengan ukuran yang sesuai, dan potong millet menjadi bagian-bagian kecil</v>
      </c>
    </row>
    <row r="92" spans="1:7" ht="17" x14ac:dyDescent="0.4">
      <c r="A92" s="24" t="str">
        <f>_xlfn.XLOOKUP(B92,表格1[ID],表格1[Dish])</f>
        <v>塔香野菇炒粟米仔</v>
      </c>
      <c r="B92" s="1" t="s">
        <v>796</v>
      </c>
      <c r="C92" s="1">
        <v>2</v>
      </c>
      <c r="D92" s="2" t="s">
        <v>1180</v>
      </c>
      <c r="E92" s="24" t="str">
        <f>_xlfn.TRANSLATE(Steps[[#This Row],[內容]],"zh-cht","en")</f>
        <v>Heat a little oil in the pan, then add all the ingredients and stir-fry until soft. Finally, add basil and minced garlic (you can also add some chili). Season with seasoning</v>
      </c>
      <c r="F92" s="24" t="str">
        <f>_xlfn.TRANSLATE(Steps[[#This Row],[內容]],"zh-cht","fil")</f>
        <v>Painitin ang kaunting mantika sa kawali, pagkatapos idagdag ang lahat ng sangkap at igisa hanggang lumambot. Sa huli, idagdag ang basil at tinadtad na bawang (maaari ka ring magdagdag ng sili). Timplahan gamit ang pampalasa</v>
      </c>
      <c r="G92" s="24" t="str">
        <f>_xlfn.TRANSLATE(Steps[[#This Row],[內容]],"zh-cht","id")</f>
        <v>Panaskan sedikit minyak di wajan, lalu tambahkan semua bahan dan tumis hingga lunak. Terakhir, tambahkan basil dan bawang putih cincang (Anda juga bisa menambahkan sedikit cabai). Bumbui dengan bumbu</v>
      </c>
    </row>
    <row r="93" spans="1:7" ht="17" x14ac:dyDescent="0.4">
      <c r="A93" s="24" t="str">
        <f>_xlfn.XLOOKUP(B93,表格1[ID],表格1[Dish])</f>
        <v>洋蔥炒豬肉</v>
      </c>
      <c r="B93" s="1" t="s">
        <v>727</v>
      </c>
      <c r="C93" s="1">
        <v>1</v>
      </c>
      <c r="D93" s="2" t="s">
        <v>1181</v>
      </c>
      <c r="E93" s="24" t="str">
        <f>_xlfn.TRANSLATE(Steps[[#This Row],[內容]],"zh-cht","en")</f>
        <v>Heat a small pan with a little oil, add the onion strips, and stir-fry over medium-low heat until golden brown</v>
      </c>
      <c r="F93" s="24" t="str">
        <f>_xlfn.TRANSLATE(Steps[[#This Row],[內容]],"zh-cht","fil")</f>
        <v>Painitin ang maliit na kawali na may kaunting mantika, idagdag ang mga hiwa ng sibuyas, at igisa sa medium-low heat hanggang maging golden brown</v>
      </c>
      <c r="G93" s="24" t="str">
        <f>_xlfn.TRANSLATE(Steps[[#This Row],[內容]],"zh-cht","id")</f>
        <v>Panaskan wajan kecil dengan sedikit minyak, tambahkan irisan bawang, dan tumis di atas api sedang-rendah hingga keemasan</v>
      </c>
    </row>
    <row r="94" spans="1:7" ht="17" x14ac:dyDescent="0.4">
      <c r="A94" s="24" t="str">
        <f>_xlfn.XLOOKUP(B94,表格1[ID],表格1[Dish])</f>
        <v>洋蔥炒豬肉</v>
      </c>
      <c r="B94" s="1" t="s">
        <v>727</v>
      </c>
      <c r="C94" s="1">
        <v>2</v>
      </c>
      <c r="D94" s="2" t="s">
        <v>1182</v>
      </c>
      <c r="E94" s="24" t="str">
        <f>_xlfn.TRANSLATE(Steps[[#This Row],[內容]],"zh-cht","en")</f>
        <v>Add the pork preserves and stir-fry until cooked</v>
      </c>
      <c r="F94" s="24" t="str">
        <f>_xlfn.TRANSLATE(Steps[[#This Row],[內容]],"zh-cht","fil")</f>
        <v>Idagdag ang pork preserves at igisa hanggang maluto</v>
      </c>
      <c r="G94" s="24" t="str">
        <f>_xlfn.TRANSLATE(Steps[[#This Row],[內容]],"zh-cht","id")</f>
        <v>Tambahkan selai babi dan tumis sampai matang</v>
      </c>
    </row>
    <row r="95" spans="1:7" ht="17" x14ac:dyDescent="0.4">
      <c r="A95" s="24" t="str">
        <f>_xlfn.XLOOKUP(B95,表格1[ID],表格1[Dish])</f>
        <v>洋蔥炒豬肉</v>
      </c>
      <c r="B95" s="1" t="s">
        <v>727</v>
      </c>
      <c r="C95" s="1">
        <v>3</v>
      </c>
      <c r="D95" s="2" t="s">
        <v>1183</v>
      </c>
      <c r="E95" s="24" t="str">
        <f>_xlfn.TRANSLATE(Steps[[#This Row],[內容]],"zh-cht","en")</f>
        <v>Add the seasonings and let the sauce mix evenly with the meat slices. Done. You can also add black pepper for extra flavor</v>
      </c>
      <c r="F95" s="24" t="str">
        <f>_xlfn.TRANSLATE(Steps[[#This Row],[內容]],"zh-cht","fil")</f>
        <v>Idagdag ang mga pampalasa at hayaang pantay na haluin ang sarsa sa mga hiwa ng karne. Tapos na. Maaari ka ring magdagdag ng itim na paminta para sa dagdag na lasa</v>
      </c>
      <c r="G95" s="24" t="str">
        <f>_xlfn.TRANSLATE(Steps[[#This Row],[內容]],"zh-cht","id")</f>
        <v>Tambahkan bumbu dan biarkan saus tercampur rata dengan irisan daging. Selesai. Anda juga bisa menambahkan lada hitam untuk rasa ekstra</v>
      </c>
    </row>
    <row r="96" spans="1:7" ht="17" x14ac:dyDescent="0.4">
      <c r="A96" s="24" t="str">
        <f>_xlfn.XLOOKUP(B96,表格1[ID],表格1[Dish])</f>
        <v>蕃茄炒蛋</v>
      </c>
      <c r="B96" s="1" t="s">
        <v>539</v>
      </c>
      <c r="C96" s="1">
        <v>1</v>
      </c>
      <c r="D96" s="5" t="s">
        <v>1184</v>
      </c>
      <c r="E96" s="24" t="str">
        <f>_xlfn.TRANSLATE(Steps[[#This Row],[內容]],"zh-cht","en")</f>
        <v>Beat chopped scallions into the eggs, and when the oil is hot, add the eggs and stir-fry until about 80% cooked, then remove from the pan and set aside</v>
      </c>
      <c r="F96" s="24" t="str">
        <f>_xlfn.TRANSLATE(Steps[[#This Row],[內容]],"zh-cht","fil")</f>
        <v>Batiin ang tinadtad na sibuyas sa itlog, at kapag mainit na ang mantika, idagdag ang mga itlog at igisa hanggang mga 80% maluto, pagkatapos ay alisin mula sa kawali at itabi</v>
      </c>
      <c r="G96" s="24" t="str">
        <f>_xlfn.TRANSLATE(Steps[[#This Row],[內容]],"zh-cht","id")</f>
        <v>Kocok daun bawang cincang ke dalam telur, dan saat minyak sudah panas, tambahkan telur dan tumis sampai sekitar 80% matang, lalu angkat dari wajan dan sisihkan</v>
      </c>
    </row>
    <row r="97" spans="1:7" ht="17" x14ac:dyDescent="0.4">
      <c r="A97" s="24" t="str">
        <f>_xlfn.XLOOKUP(B97,表格1[ID],表格1[Dish])</f>
        <v>蕃茄炒蛋</v>
      </c>
      <c r="B97" s="1" t="s">
        <v>539</v>
      </c>
      <c r="C97" s="1">
        <v>2</v>
      </c>
      <c r="D97" s="2" t="s">
        <v>1185</v>
      </c>
      <c r="E97" s="24" t="str">
        <f>_xlfn.TRANSLATE(Steps[[#This Row],[內容]],"zh-cht","en")</f>
        <v>Cut the tomatoes into small pieces, add oil in the same pan, and stir-fry the tomatoes until soft</v>
      </c>
      <c r="F97" s="24" t="str">
        <f>_xlfn.TRANSLATE(Steps[[#This Row],[內容]],"zh-cht","fil")</f>
        <v>Hiwain ang mga kamatis sa maliliit na piraso, ilagay ang mantika sa parehong kawali, at igisa ang mga kamatis hanggang lumambot</v>
      </c>
      <c r="G97" s="24" t="str">
        <f>_xlfn.TRANSLATE(Steps[[#This Row],[內容]],"zh-cht","id")</f>
        <v>Potong tomat menjadi potongan kecil, tambahkan minyak di wajan yang sama, dan tumis tomat hingga lunak</v>
      </c>
    </row>
    <row r="98" spans="1:7" ht="17" x14ac:dyDescent="0.4">
      <c r="A98" s="24" t="str">
        <f>_xlfn.XLOOKUP(B98,表格1[ID],表格1[Dish])</f>
        <v>蕃茄炒蛋</v>
      </c>
      <c r="B98" s="1" t="s">
        <v>539</v>
      </c>
      <c r="C98" s="1">
        <v>3</v>
      </c>
      <c r="D98" s="2" t="s">
        <v>1186</v>
      </c>
      <c r="E98" s="24" t="str">
        <f>_xlfn.TRANSLATE(Steps[[#This Row],[內容]],"zh-cht","en")</f>
        <v>Return the scrambled eggs to the pan and add seasoning. Once the sauce and ingredients are well mixed together,</v>
      </c>
      <c r="F98" s="24" t="str">
        <f>_xlfn.TRANSLATE(Steps[[#This Row],[內容]],"zh-cht","fil")</f>
        <v>Ibalik ang scrambled eggs sa kawali at lagyan ng pampalasa. Kapag ang sarsa at mga sangkap ay maayos nang pinaghalo,</v>
      </c>
      <c r="G98" s="24" t="str">
        <f>_xlfn.TRANSLATE(Steps[[#This Row],[內容]],"zh-cht","id")</f>
        <v>Kembalikan telur orak-arik ke wajan dan tambahkan bumbu. Setelah saus dan bahan-bahan tercampur rata,</v>
      </c>
    </row>
    <row r="99" spans="1:7" ht="17" x14ac:dyDescent="0.4">
      <c r="A99" s="24" t="str">
        <f>_xlfn.XLOOKUP(B99,表格1[ID],表格1[Dish])</f>
        <v>牛丼</v>
      </c>
      <c r="B99" s="1" t="s">
        <v>168</v>
      </c>
      <c r="C99" s="1">
        <v>1</v>
      </c>
      <c r="D99" s="2" t="s">
        <v>1192</v>
      </c>
      <c r="E99" s="24" t="str">
        <f>_xlfn.TRANSLATE(Steps[[#This Row],[內容]],"zh-cht","en")</f>
        <v>Cut the onion into thin strips and separate them; separate the beef</v>
      </c>
      <c r="F99" s="24" t="str">
        <f>_xlfn.TRANSLATE(Steps[[#This Row],[內容]],"zh-cht","fil")</f>
        <v>Hiwain ang sibuyas sa manipis na piraso at paghiwalayin; paghiwalayin ang baka</v>
      </c>
      <c r="G99" s="24" t="str">
        <f>_xlfn.TRANSLATE(Steps[[#This Row],[內容]],"zh-cht","id")</f>
        <v>Iris bawang menjadi irisan tipis dan pisahkan; pisahkan daging sapi</v>
      </c>
    </row>
    <row r="100" spans="1:7" ht="17" x14ac:dyDescent="0.4">
      <c r="A100" s="24" t="str">
        <f>_xlfn.XLOOKUP(B100,表格1[ID],表格1[Dish])</f>
        <v>牛丼</v>
      </c>
      <c r="B100" s="1" t="s">
        <v>168</v>
      </c>
      <c r="C100" s="1">
        <v>2</v>
      </c>
      <c r="D100" s="2" t="s">
        <v>1193</v>
      </c>
      <c r="E100" s="24" t="str">
        <f>_xlfn.TRANSLATE(Steps[[#This Row],[內容]],"zh-cht","en")</f>
        <v>Turn on the heat and sauté the onions until golden, then reduce to low heat or turn off the heat to season and season</v>
      </c>
      <c r="F100" s="24" t="str">
        <f>_xlfn.TRANSLATE(Steps[[#This Row],[內容]],"zh-cht","fil")</f>
        <v>Buksan ang apoy at igisa ang sibuyas hanggang maging ginto, pagkatapos ay bawasan sa mababang init o patayin ang apoy para timplahan at timplahan</v>
      </c>
      <c r="G100" s="24" t="str">
        <f>_xlfn.TRANSLATE(Steps[[#This Row],[內容]],"zh-cht","id")</f>
        <v>Nyalakan api dan tumis bawang bombay hingga keemasan, lalu kecilkan api kecil atau matikan api untuk membumbui dan membumbui</v>
      </c>
    </row>
    <row r="101" spans="1:7" ht="17" x14ac:dyDescent="0.4">
      <c r="A101" s="24" t="str">
        <f>_xlfn.XLOOKUP(B101,表格1[ID],表格1[Dish])</f>
        <v>牛丼</v>
      </c>
      <c r="B101" s="1" t="s">
        <v>168</v>
      </c>
      <c r="C101" s="1">
        <v>3</v>
      </c>
      <c r="D101" s="2" t="s">
        <v>1194</v>
      </c>
      <c r="E101" s="24" t="str">
        <f>_xlfn.TRANSLATE(Steps[[#This Row],[內容]],"zh-cht","en")</f>
        <v>When the sauce boils, simmer over medium heat until the sauce thickens, then add the beef and cook together</v>
      </c>
      <c r="F101" s="24" t="str">
        <f>_xlfn.TRANSLATE(Steps[[#This Row],[內容]],"zh-cht","fil")</f>
        <v>Kapag kumulo na ang sarsa, pakuluan sa katamtamang init hanggang lumapot ang sarsa, pagkatapos ay idagdag ang baka at lutuin nang sabay</v>
      </c>
      <c r="G101" s="24" t="str">
        <f>_xlfn.TRANSLATE(Steps[[#This Row],[內容]],"zh-cht","id")</f>
        <v>Saat saus mendidih, didihkan di atas api sedang hingga saus mengental, lalu tambahkan daging sapi dan masak bersama</v>
      </c>
    </row>
    <row r="102" spans="1:7" ht="17" x14ac:dyDescent="0.4">
      <c r="A102" s="24" t="str">
        <f>_xlfn.XLOOKUP(B102,表格1[ID],表格1[Dish])</f>
        <v>牛丼</v>
      </c>
      <c r="B102" s="1" t="s">
        <v>168</v>
      </c>
      <c r="C102" s="1">
        <v>4</v>
      </c>
      <c r="D102" s="2" t="s">
        <v>1195</v>
      </c>
      <c r="E102" s="24" t="str">
        <f>_xlfn.TRANSLATE(Steps[[#This Row],[內容]],"zh-cht","en")</f>
        <v>Serve the rice, pour it on top, and sprinkle with chopped scallions</v>
      </c>
      <c r="F102" s="24" t="str">
        <f>_xlfn.TRANSLATE(Steps[[#This Row],[內容]],"zh-cht","fil")</f>
        <v>Ihain ang kanin, ibuhos sa ibabaw, at budburan ng tinadtad na scallions</v>
      </c>
      <c r="G102" s="24" t="str">
        <f>_xlfn.TRANSLATE(Steps[[#This Row],[內容]],"zh-cht","id")</f>
        <v>Sajikan nasi, tuangkan di atasnya, dan taburi dengan daun bawang cincang</v>
      </c>
    </row>
  </sheetData>
  <phoneticPr fontId="2" type="noConversion"/>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F412-7175-4B8C-93B4-B4DD0A4DEA6F}">
  <dimension ref="A1:D100"/>
  <sheetViews>
    <sheetView topLeftCell="A85" workbookViewId="0">
      <selection activeCell="D100" sqref="D100"/>
    </sheetView>
  </sheetViews>
  <sheetFormatPr defaultColWidth="12.54296875" defaultRowHeight="15.5" x14ac:dyDescent="0.4"/>
  <cols>
    <col min="1" max="1" width="14.7265625" style="1" bestFit="1" customWidth="1"/>
    <col min="2" max="2" width="28.36328125" style="1" bestFit="1" customWidth="1"/>
    <col min="3" max="3" width="32.81640625" style="1" bestFit="1" customWidth="1"/>
    <col min="4" max="4" width="35.7265625" style="1" bestFit="1" customWidth="1"/>
    <col min="5" max="16384" width="12.54296875" style="1"/>
  </cols>
  <sheetData>
    <row r="1" spans="1:4" ht="17" x14ac:dyDescent="0.4">
      <c r="B1" s="1" t="s">
        <v>1092</v>
      </c>
      <c r="C1" s="34" t="e">
        <f>_xlfn.TRANSLATE(英文, "en","fil")</f>
        <v>#NAME?</v>
      </c>
      <c r="D1" s="35" t="e">
        <f>_xlfn.TRANSLATE(ingredient_unit[[#This Row],[英文]],"zh-cht","id")</f>
        <v>#VALUE!</v>
      </c>
    </row>
    <row r="3" spans="1:4" ht="17" x14ac:dyDescent="0.4">
      <c r="A3" s="7" t="s">
        <v>225</v>
      </c>
      <c r="B3" s="7" t="s">
        <v>226</v>
      </c>
      <c r="C3" s="7" t="s">
        <v>223</v>
      </c>
      <c r="D3" s="7" t="s">
        <v>224</v>
      </c>
    </row>
    <row r="4" spans="1:4" ht="17" x14ac:dyDescent="0.4">
      <c r="A4" s="2" t="s">
        <v>299</v>
      </c>
      <c r="B4" s="1" t="s">
        <v>878</v>
      </c>
      <c r="C4" s="1" t="s">
        <v>879</v>
      </c>
      <c r="D4" s="1" t="s">
        <v>880</v>
      </c>
    </row>
    <row r="5" spans="1:4" ht="17" x14ac:dyDescent="0.4">
      <c r="A5" s="2" t="s">
        <v>261</v>
      </c>
      <c r="B5" s="1" t="s">
        <v>881</v>
      </c>
      <c r="C5" s="1" t="s">
        <v>882</v>
      </c>
      <c r="D5" s="1" t="s">
        <v>883</v>
      </c>
    </row>
    <row r="6" spans="1:4" ht="17" x14ac:dyDescent="0.4">
      <c r="A6" s="2" t="s">
        <v>235</v>
      </c>
      <c r="B6" s="1" t="s">
        <v>884</v>
      </c>
      <c r="C6" s="1" t="s">
        <v>885</v>
      </c>
      <c r="D6" s="1" t="s">
        <v>886</v>
      </c>
    </row>
    <row r="7" spans="1:4" ht="17" x14ac:dyDescent="0.4">
      <c r="A7" s="2" t="s">
        <v>255</v>
      </c>
      <c r="B7" s="1" t="s">
        <v>887</v>
      </c>
      <c r="C7" s="1" t="s">
        <v>888</v>
      </c>
      <c r="D7" s="1" t="s">
        <v>889</v>
      </c>
    </row>
    <row r="8" spans="1:4" ht="17" x14ac:dyDescent="0.4">
      <c r="A8" s="2" t="s">
        <v>238</v>
      </c>
      <c r="B8" s="1" t="s">
        <v>890</v>
      </c>
      <c r="C8" s="1" t="s">
        <v>891</v>
      </c>
      <c r="D8" s="1" t="s">
        <v>892</v>
      </c>
    </row>
    <row r="9" spans="1:4" ht="17" x14ac:dyDescent="0.4">
      <c r="A9" s="2" t="s">
        <v>284</v>
      </c>
      <c r="B9" s="1" t="s">
        <v>893</v>
      </c>
      <c r="C9" s="1" t="s">
        <v>894</v>
      </c>
      <c r="D9" s="1" t="s">
        <v>895</v>
      </c>
    </row>
    <row r="10" spans="1:4" ht="17" x14ac:dyDescent="0.4">
      <c r="A10" s="2" t="s">
        <v>305</v>
      </c>
      <c r="B10" s="1" t="s">
        <v>896</v>
      </c>
      <c r="C10" s="1" t="s">
        <v>897</v>
      </c>
      <c r="D10" s="1" t="s">
        <v>898</v>
      </c>
    </row>
    <row r="11" spans="1:4" ht="17" x14ac:dyDescent="0.4">
      <c r="A11" s="2" t="s">
        <v>291</v>
      </c>
      <c r="B11" s="1" t="s">
        <v>899</v>
      </c>
      <c r="C11" s="1" t="s">
        <v>900</v>
      </c>
      <c r="D11" s="1" t="s">
        <v>901</v>
      </c>
    </row>
    <row r="12" spans="1:4" ht="17" x14ac:dyDescent="0.4">
      <c r="A12" s="2" t="s">
        <v>245</v>
      </c>
      <c r="B12" s="1" t="s">
        <v>902</v>
      </c>
      <c r="C12" s="1" t="s">
        <v>903</v>
      </c>
      <c r="D12" s="1" t="s">
        <v>904</v>
      </c>
    </row>
    <row r="13" spans="1:4" ht="17" x14ac:dyDescent="0.4">
      <c r="A13" s="2" t="s">
        <v>293</v>
      </c>
      <c r="B13" s="1" t="s">
        <v>905</v>
      </c>
      <c r="C13" s="1" t="s">
        <v>906</v>
      </c>
      <c r="D13" s="1" t="s">
        <v>907</v>
      </c>
    </row>
    <row r="14" spans="1:4" ht="17" x14ac:dyDescent="0.4">
      <c r="A14" s="2" t="s">
        <v>301</v>
      </c>
      <c r="B14" s="1" t="s">
        <v>908</v>
      </c>
      <c r="C14" s="1" t="s">
        <v>909</v>
      </c>
      <c r="D14" s="1" t="s">
        <v>910</v>
      </c>
    </row>
    <row r="15" spans="1:4" ht="17" x14ac:dyDescent="0.4">
      <c r="A15" t="s">
        <v>343</v>
      </c>
      <c r="B15" s="1" t="s">
        <v>911</v>
      </c>
      <c r="C15" s="1" t="s">
        <v>912</v>
      </c>
      <c r="D15" s="1" t="s">
        <v>913</v>
      </c>
    </row>
    <row r="16" spans="1:4" ht="17" x14ac:dyDescent="0.4">
      <c r="A16" s="2" t="s">
        <v>324</v>
      </c>
      <c r="B16" s="1" t="s">
        <v>914</v>
      </c>
      <c r="C16" s="1" t="s">
        <v>915</v>
      </c>
      <c r="D16" s="1" t="s">
        <v>915</v>
      </c>
    </row>
    <row r="17" spans="1:4" ht="17" x14ac:dyDescent="0.4">
      <c r="A17" t="s">
        <v>334</v>
      </c>
      <c r="B17" s="1" t="s">
        <v>916</v>
      </c>
      <c r="C17" s="1" t="s">
        <v>917</v>
      </c>
      <c r="D17" s="1" t="s">
        <v>918</v>
      </c>
    </row>
    <row r="18" spans="1:4" ht="17" x14ac:dyDescent="0.4">
      <c r="A18" s="2" t="s">
        <v>307</v>
      </c>
      <c r="B18" s="1" t="s">
        <v>919</v>
      </c>
      <c r="C18" s="1" t="s">
        <v>919</v>
      </c>
      <c r="D18" s="1" t="s">
        <v>920</v>
      </c>
    </row>
    <row r="19" spans="1:4" ht="17" x14ac:dyDescent="0.4">
      <c r="A19" s="2" t="s">
        <v>326</v>
      </c>
      <c r="B19" s="1" t="s">
        <v>921</v>
      </c>
      <c r="C19" s="1" t="s">
        <v>921</v>
      </c>
      <c r="D19" s="1" t="s">
        <v>922</v>
      </c>
    </row>
    <row r="20" spans="1:4" ht="17" x14ac:dyDescent="0.4">
      <c r="A20" t="s">
        <v>340</v>
      </c>
      <c r="B20" s="1" t="s">
        <v>923</v>
      </c>
      <c r="C20" s="1" t="s">
        <v>924</v>
      </c>
      <c r="D20" s="1" t="s">
        <v>925</v>
      </c>
    </row>
    <row r="21" spans="1:4" ht="17" x14ac:dyDescent="0.4">
      <c r="A21" t="s">
        <v>335</v>
      </c>
      <c r="B21" s="1" t="s">
        <v>926</v>
      </c>
      <c r="C21" s="1" t="s">
        <v>926</v>
      </c>
      <c r="D21" s="1" t="s">
        <v>927</v>
      </c>
    </row>
    <row r="22" spans="1:4" ht="17" x14ac:dyDescent="0.4">
      <c r="A22" s="2" t="s">
        <v>295</v>
      </c>
      <c r="B22" s="1" t="s">
        <v>928</v>
      </c>
      <c r="C22" s="1" t="s">
        <v>929</v>
      </c>
      <c r="D22" s="1" t="s">
        <v>930</v>
      </c>
    </row>
    <row r="23" spans="1:4" ht="17" x14ac:dyDescent="0.4">
      <c r="A23" s="2" t="s">
        <v>303</v>
      </c>
      <c r="B23" s="1" t="s">
        <v>931</v>
      </c>
      <c r="C23" s="1" t="s">
        <v>932</v>
      </c>
      <c r="D23" s="1" t="s">
        <v>933</v>
      </c>
    </row>
    <row r="24" spans="1:4" ht="17" x14ac:dyDescent="0.4">
      <c r="A24" s="2" t="s">
        <v>328</v>
      </c>
      <c r="B24" s="1" t="s">
        <v>934</v>
      </c>
      <c r="C24" s="1" t="s">
        <v>934</v>
      </c>
      <c r="D24" s="1" t="s">
        <v>934</v>
      </c>
    </row>
    <row r="25" spans="1:4" ht="17" x14ac:dyDescent="0.4">
      <c r="A25" s="2" t="s">
        <v>346</v>
      </c>
      <c r="B25" s="1" t="s">
        <v>935</v>
      </c>
      <c r="C25" s="1" t="s">
        <v>936</v>
      </c>
      <c r="D25" s="1" t="s">
        <v>937</v>
      </c>
    </row>
    <row r="26" spans="1:4" ht="17" x14ac:dyDescent="0.4">
      <c r="A26" s="2" t="s">
        <v>313</v>
      </c>
      <c r="B26" s="1" t="s">
        <v>938</v>
      </c>
      <c r="C26" s="1" t="s">
        <v>938</v>
      </c>
      <c r="D26" s="1" t="s">
        <v>939</v>
      </c>
    </row>
    <row r="27" spans="1:4" ht="17" x14ac:dyDescent="0.4">
      <c r="A27" s="2" t="s">
        <v>317</v>
      </c>
      <c r="B27" s="1" t="s">
        <v>940</v>
      </c>
      <c r="C27" s="1" t="s">
        <v>941</v>
      </c>
      <c r="D27" s="1" t="s">
        <v>942</v>
      </c>
    </row>
    <row r="28" spans="1:4" ht="17" x14ac:dyDescent="0.4">
      <c r="A28" s="2" t="s">
        <v>282</v>
      </c>
      <c r="B28" s="1" t="s">
        <v>943</v>
      </c>
      <c r="C28" s="1" t="s">
        <v>944</v>
      </c>
      <c r="D28" s="1" t="s">
        <v>945</v>
      </c>
    </row>
    <row r="29" spans="1:4" ht="17" x14ac:dyDescent="0.4">
      <c r="A29" t="s">
        <v>344</v>
      </c>
      <c r="B29" s="1" t="s">
        <v>946</v>
      </c>
      <c r="C29" s="1" t="s">
        <v>947</v>
      </c>
      <c r="D29" s="1" t="s">
        <v>948</v>
      </c>
    </row>
    <row r="30" spans="1:4" ht="17" x14ac:dyDescent="0.4">
      <c r="A30" s="2" t="s">
        <v>351</v>
      </c>
      <c r="B30" s="1" t="s">
        <v>949</v>
      </c>
      <c r="C30" s="1" t="s">
        <v>950</v>
      </c>
      <c r="D30" s="1" t="s">
        <v>951</v>
      </c>
    </row>
    <row r="31" spans="1:4" ht="17" x14ac:dyDescent="0.4">
      <c r="A31" s="2" t="s">
        <v>280</v>
      </c>
      <c r="B31" s="1" t="s">
        <v>952</v>
      </c>
      <c r="C31" s="1" t="s">
        <v>953</v>
      </c>
      <c r="D31" s="1" t="s">
        <v>954</v>
      </c>
    </row>
    <row r="32" spans="1:4" ht="17" x14ac:dyDescent="0.4">
      <c r="A32" s="2" t="s">
        <v>297</v>
      </c>
      <c r="B32" s="1" t="s">
        <v>955</v>
      </c>
      <c r="C32" s="1" t="s">
        <v>956</v>
      </c>
      <c r="D32" s="1" t="s">
        <v>957</v>
      </c>
    </row>
    <row r="33" spans="1:4" ht="17" x14ac:dyDescent="0.4">
      <c r="A33" t="s">
        <v>341</v>
      </c>
      <c r="B33" s="1" t="s">
        <v>958</v>
      </c>
      <c r="C33" s="1" t="s">
        <v>959</v>
      </c>
      <c r="D33" s="1" t="s">
        <v>960</v>
      </c>
    </row>
    <row r="34" spans="1:4" ht="17" x14ac:dyDescent="0.4">
      <c r="A34" s="2" t="s">
        <v>259</v>
      </c>
      <c r="B34" s="1" t="s">
        <v>961</v>
      </c>
      <c r="C34" s="1" t="s">
        <v>962</v>
      </c>
      <c r="D34" s="1" t="s">
        <v>963</v>
      </c>
    </row>
    <row r="35" spans="1:4" ht="17" x14ac:dyDescent="0.4">
      <c r="A35" s="2" t="s">
        <v>257</v>
      </c>
      <c r="B35" s="1" t="s">
        <v>964</v>
      </c>
      <c r="C35" s="1" t="s">
        <v>965</v>
      </c>
      <c r="D35" s="1" t="s">
        <v>966</v>
      </c>
    </row>
    <row r="36" spans="1:4" ht="17" x14ac:dyDescent="0.4">
      <c r="A36" s="2" t="s">
        <v>246</v>
      </c>
      <c r="B36" s="1" t="s">
        <v>967</v>
      </c>
      <c r="C36" s="1" t="s">
        <v>968</v>
      </c>
      <c r="D36" s="1" t="s">
        <v>969</v>
      </c>
    </row>
    <row r="37" spans="1:4" ht="17" x14ac:dyDescent="0.4">
      <c r="A37" s="2" t="s">
        <v>435</v>
      </c>
      <c r="B37" s="1" t="s">
        <v>970</v>
      </c>
      <c r="C37" s="24" t="s">
        <v>971</v>
      </c>
      <c r="D37" s="24" t="s">
        <v>972</v>
      </c>
    </row>
    <row r="38" spans="1:4" ht="17" x14ac:dyDescent="0.4">
      <c r="A38" t="s">
        <v>336</v>
      </c>
      <c r="B38" s="1" t="s">
        <v>973</v>
      </c>
      <c r="C38" s="24" t="s">
        <v>973</v>
      </c>
      <c r="D38" s="24" t="s">
        <v>974</v>
      </c>
    </row>
    <row r="39" spans="1:4" ht="17" x14ac:dyDescent="0.4">
      <c r="A39" s="2" t="s">
        <v>339</v>
      </c>
      <c r="B39" s="1" t="s">
        <v>975</v>
      </c>
      <c r="C39" s="24" t="s">
        <v>975</v>
      </c>
      <c r="D39" s="24" t="s">
        <v>976</v>
      </c>
    </row>
    <row r="40" spans="1:4" ht="17" x14ac:dyDescent="0.4">
      <c r="A40" s="2" t="s">
        <v>286</v>
      </c>
      <c r="B40" s="1" t="s">
        <v>977</v>
      </c>
      <c r="C40" s="24" t="s">
        <v>977</v>
      </c>
      <c r="D40" s="24" t="s">
        <v>978</v>
      </c>
    </row>
    <row r="41" spans="1:4" ht="17" x14ac:dyDescent="0.4">
      <c r="A41" s="2" t="s">
        <v>330</v>
      </c>
      <c r="B41" s="1" t="s">
        <v>979</v>
      </c>
      <c r="C41" s="24" t="s">
        <v>979</v>
      </c>
      <c r="D41" s="24" t="s">
        <v>980</v>
      </c>
    </row>
    <row r="42" spans="1:4" ht="17" x14ac:dyDescent="0.4">
      <c r="A42" t="s">
        <v>342</v>
      </c>
      <c r="B42" s="1" t="s">
        <v>981</v>
      </c>
      <c r="C42" s="24" t="s">
        <v>982</v>
      </c>
      <c r="D42" s="24" t="s">
        <v>983</v>
      </c>
    </row>
    <row r="43" spans="1:4" ht="17" x14ac:dyDescent="0.4">
      <c r="A43" s="2" t="s">
        <v>236</v>
      </c>
      <c r="B43" s="1" t="s">
        <v>984</v>
      </c>
      <c r="C43" s="24" t="s">
        <v>985</v>
      </c>
      <c r="D43" s="24" t="s">
        <v>986</v>
      </c>
    </row>
    <row r="44" spans="1:4" ht="17" x14ac:dyDescent="0.4">
      <c r="A44" s="2" t="s">
        <v>243</v>
      </c>
      <c r="B44" s="1" t="s">
        <v>987</v>
      </c>
      <c r="C44" s="24" t="s">
        <v>988</v>
      </c>
      <c r="D44" s="24" t="s">
        <v>989</v>
      </c>
    </row>
    <row r="45" spans="1:4" ht="17" x14ac:dyDescent="0.4">
      <c r="A45" s="2" t="s">
        <v>309</v>
      </c>
      <c r="B45" s="1" t="s">
        <v>990</v>
      </c>
      <c r="C45" s="24" t="s">
        <v>991</v>
      </c>
      <c r="D45" s="24" t="s">
        <v>992</v>
      </c>
    </row>
    <row r="46" spans="1:4" ht="17" x14ac:dyDescent="0.4">
      <c r="A46" s="2" t="s">
        <v>319</v>
      </c>
      <c r="B46" s="1" t="s">
        <v>993</v>
      </c>
      <c r="C46" s="24" t="s">
        <v>994</v>
      </c>
      <c r="D46" s="24" t="s">
        <v>995</v>
      </c>
    </row>
    <row r="47" spans="1:4" ht="17" x14ac:dyDescent="0.4">
      <c r="A47" s="2" t="s">
        <v>322</v>
      </c>
      <c r="B47" s="1" t="s">
        <v>996</v>
      </c>
      <c r="C47" s="24" t="s">
        <v>997</v>
      </c>
      <c r="D47" s="24" t="s">
        <v>998</v>
      </c>
    </row>
    <row r="48" spans="1:4" ht="17" x14ac:dyDescent="0.4">
      <c r="A48" t="s">
        <v>337</v>
      </c>
      <c r="B48" s="1" t="s">
        <v>999</v>
      </c>
      <c r="C48" s="24" t="s">
        <v>999</v>
      </c>
      <c r="D48" s="24" t="s">
        <v>999</v>
      </c>
    </row>
    <row r="49" spans="1:4" ht="17" x14ac:dyDescent="0.4">
      <c r="A49" s="2" t="s">
        <v>311</v>
      </c>
      <c r="B49" s="1" t="s">
        <v>1000</v>
      </c>
      <c r="C49" s="24" t="s">
        <v>1001</v>
      </c>
      <c r="D49" s="24" t="s">
        <v>1002</v>
      </c>
    </row>
    <row r="50" spans="1:4" ht="17" x14ac:dyDescent="0.4">
      <c r="A50" t="s">
        <v>227</v>
      </c>
      <c r="B50" s="1" t="s">
        <v>1003</v>
      </c>
      <c r="C50" s="24" t="s">
        <v>1004</v>
      </c>
      <c r="D50" s="24" t="s">
        <v>1005</v>
      </c>
    </row>
    <row r="51" spans="1:4" ht="17" x14ac:dyDescent="0.4">
      <c r="A51" s="2" t="s">
        <v>315</v>
      </c>
      <c r="B51" s="1" t="s">
        <v>1006</v>
      </c>
      <c r="C51" s="24" t="s">
        <v>1007</v>
      </c>
      <c r="D51" s="24" t="s">
        <v>1008</v>
      </c>
    </row>
    <row r="52" spans="1:4" ht="17" x14ac:dyDescent="0.4">
      <c r="A52" s="2" t="s">
        <v>241</v>
      </c>
      <c r="B52" s="1" t="s">
        <v>1009</v>
      </c>
      <c r="C52" s="24" t="s">
        <v>1010</v>
      </c>
      <c r="D52" s="24" t="s">
        <v>1011</v>
      </c>
    </row>
    <row r="53" spans="1:4" ht="17" x14ac:dyDescent="0.4">
      <c r="A53" s="2" t="s">
        <v>380</v>
      </c>
      <c r="B53" s="1" t="s">
        <v>1012</v>
      </c>
      <c r="C53" s="24" t="s">
        <v>1013</v>
      </c>
      <c r="D53" s="24" t="s">
        <v>1014</v>
      </c>
    </row>
    <row r="54" spans="1:4" ht="17" x14ac:dyDescent="0.4">
      <c r="A54" s="2" t="s">
        <v>348</v>
      </c>
      <c r="B54" s="1" t="s">
        <v>1015</v>
      </c>
      <c r="C54" s="24" t="s">
        <v>1016</v>
      </c>
      <c r="D54" s="24" t="s">
        <v>1017</v>
      </c>
    </row>
    <row r="55" spans="1:4" ht="17" x14ac:dyDescent="0.4">
      <c r="A55" s="2" t="s">
        <v>402</v>
      </c>
      <c r="B55" s="1" t="s">
        <v>1018</v>
      </c>
      <c r="C55" s="24" t="s">
        <v>1018</v>
      </c>
      <c r="D55" s="24" t="s">
        <v>1019</v>
      </c>
    </row>
    <row r="56" spans="1:4" ht="17" x14ac:dyDescent="0.4">
      <c r="A56" s="2" t="s">
        <v>404</v>
      </c>
      <c r="B56" s="1" t="s">
        <v>1020</v>
      </c>
      <c r="C56" s="24" t="s">
        <v>1021</v>
      </c>
      <c r="D56" s="24" t="s">
        <v>1022</v>
      </c>
    </row>
    <row r="57" spans="1:4" ht="17" x14ac:dyDescent="0.4">
      <c r="A57" s="2" t="s">
        <v>406</v>
      </c>
      <c r="B57" s="1" t="s">
        <v>1023</v>
      </c>
      <c r="C57" s="24" t="s">
        <v>1024</v>
      </c>
      <c r="D57" s="24" t="s">
        <v>1025</v>
      </c>
    </row>
    <row r="58" spans="1:4" ht="17" x14ac:dyDescent="0.4">
      <c r="A58" s="2" t="s">
        <v>408</v>
      </c>
      <c r="B58" s="1" t="s">
        <v>1026</v>
      </c>
      <c r="C58" s="24" t="s">
        <v>1027</v>
      </c>
      <c r="D58" s="24" t="s">
        <v>1028</v>
      </c>
    </row>
    <row r="59" spans="1:4" ht="17" x14ac:dyDescent="0.4">
      <c r="A59" s="2" t="s">
        <v>414</v>
      </c>
      <c r="B59" s="1" t="s">
        <v>1029</v>
      </c>
      <c r="C59" s="24" t="s">
        <v>1029</v>
      </c>
      <c r="D59" s="24" t="s">
        <v>1030</v>
      </c>
    </row>
    <row r="60" spans="1:4" ht="17" x14ac:dyDescent="0.4">
      <c r="A60" s="2" t="s">
        <v>416</v>
      </c>
      <c r="B60" s="1" t="s">
        <v>1031</v>
      </c>
      <c r="C60" s="24" t="s">
        <v>1032</v>
      </c>
      <c r="D60" s="24" t="s">
        <v>1033</v>
      </c>
    </row>
    <row r="61" spans="1:4" ht="17" x14ac:dyDescent="0.4">
      <c r="A61" s="2" t="s">
        <v>418</v>
      </c>
      <c r="B61" s="1" t="s">
        <v>1034</v>
      </c>
      <c r="C61" s="24" t="s">
        <v>1035</v>
      </c>
      <c r="D61" s="24" t="s">
        <v>1036</v>
      </c>
    </row>
    <row r="62" spans="1:4" ht="17" x14ac:dyDescent="0.4">
      <c r="A62" s="2" t="s">
        <v>420</v>
      </c>
      <c r="B62" s="1" t="s">
        <v>1037</v>
      </c>
      <c r="C62" s="24" t="s">
        <v>1038</v>
      </c>
      <c r="D62" s="24" t="s">
        <v>1039</v>
      </c>
    </row>
    <row r="63" spans="1:4" ht="17" x14ac:dyDescent="0.4">
      <c r="A63" s="2" t="s">
        <v>425</v>
      </c>
      <c r="B63" s="1" t="s">
        <v>1040</v>
      </c>
      <c r="C63" s="24" t="s">
        <v>1041</v>
      </c>
      <c r="D63" s="24" t="s">
        <v>1042</v>
      </c>
    </row>
    <row r="64" spans="1:4" ht="17" x14ac:dyDescent="0.4">
      <c r="A64" s="2" t="s">
        <v>427</v>
      </c>
      <c r="B64" s="1" t="s">
        <v>1043</v>
      </c>
      <c r="C64" s="24" t="s">
        <v>1044</v>
      </c>
      <c r="D64" s="24" t="s">
        <v>1045</v>
      </c>
    </row>
    <row r="65" spans="1:4" ht="17" x14ac:dyDescent="0.4">
      <c r="A65" s="2" t="s">
        <v>429</v>
      </c>
      <c r="B65" s="1" t="s">
        <v>1046</v>
      </c>
      <c r="C65" s="24" t="s">
        <v>1047</v>
      </c>
      <c r="D65" s="24" t="s">
        <v>1048</v>
      </c>
    </row>
    <row r="66" spans="1:4" ht="17" x14ac:dyDescent="0.4">
      <c r="A66" s="2" t="s">
        <v>431</v>
      </c>
      <c r="B66" s="1" t="s">
        <v>1049</v>
      </c>
      <c r="C66" s="24" t="s">
        <v>1050</v>
      </c>
      <c r="D66" s="24" t="s">
        <v>1051</v>
      </c>
    </row>
    <row r="67" spans="1:4" ht="17" x14ac:dyDescent="0.4">
      <c r="A67" s="2" t="s">
        <v>433</v>
      </c>
      <c r="B67" s="1" t="s">
        <v>1052</v>
      </c>
      <c r="C67" s="24" t="s">
        <v>1053</v>
      </c>
      <c r="D67" s="24" t="s">
        <v>1054</v>
      </c>
    </row>
    <row r="68" spans="1:4" ht="17" x14ac:dyDescent="0.4">
      <c r="A68" s="2" t="s">
        <v>450</v>
      </c>
      <c r="B68" s="1" t="s">
        <v>857</v>
      </c>
      <c r="C68" s="24" t="s">
        <v>1055</v>
      </c>
      <c r="D68" s="24" t="s">
        <v>1056</v>
      </c>
    </row>
    <row r="69" spans="1:4" ht="17" x14ac:dyDescent="0.4">
      <c r="A69" s="2" t="s">
        <v>452</v>
      </c>
      <c r="B69" s="1" t="s">
        <v>1057</v>
      </c>
      <c r="C69" s="24" t="s">
        <v>1058</v>
      </c>
      <c r="D69" s="24" t="s">
        <v>1059</v>
      </c>
    </row>
    <row r="70" spans="1:4" ht="17" x14ac:dyDescent="0.4">
      <c r="A70" s="2" t="s">
        <v>691</v>
      </c>
      <c r="B70" s="1" t="s">
        <v>1060</v>
      </c>
      <c r="C70" s="24" t="s">
        <v>1061</v>
      </c>
      <c r="D70" s="24" t="s">
        <v>1062</v>
      </c>
    </row>
    <row r="71" spans="1:4" ht="17" x14ac:dyDescent="0.4">
      <c r="A71" s="2" t="s">
        <v>852</v>
      </c>
      <c r="B71" s="1" t="s">
        <v>1063</v>
      </c>
      <c r="C71" s="24" t="s">
        <v>1064</v>
      </c>
      <c r="D71" s="24" t="s">
        <v>1065</v>
      </c>
    </row>
    <row r="72" spans="1:4" ht="17" x14ac:dyDescent="0.4">
      <c r="A72" s="2" t="s">
        <v>854</v>
      </c>
      <c r="B72" s="1" t="s">
        <v>1066</v>
      </c>
      <c r="C72" s="24" t="s">
        <v>1067</v>
      </c>
      <c r="D72" s="24" t="s">
        <v>1068</v>
      </c>
    </row>
    <row r="73" spans="1:4" ht="17" x14ac:dyDescent="0.4">
      <c r="A73" s="2" t="s">
        <v>856</v>
      </c>
      <c r="B73" s="1" t="s">
        <v>946</v>
      </c>
      <c r="C73" s="24" t="s">
        <v>947</v>
      </c>
      <c r="D73" s="24" t="s">
        <v>948</v>
      </c>
    </row>
    <row r="74" spans="1:4" ht="17" x14ac:dyDescent="0.4">
      <c r="A74" s="2" t="s">
        <v>868</v>
      </c>
      <c r="B74" s="1" t="s">
        <v>1069</v>
      </c>
      <c r="C74" s="24" t="s">
        <v>1070</v>
      </c>
      <c r="D74" s="24" t="s">
        <v>1071</v>
      </c>
    </row>
    <row r="75" spans="1:4" ht="17" x14ac:dyDescent="0.4">
      <c r="A75" s="2" t="s">
        <v>870</v>
      </c>
      <c r="B75" s="1" t="s">
        <v>1072</v>
      </c>
      <c r="C75" s="24" t="s">
        <v>1073</v>
      </c>
      <c r="D75" s="24" t="s">
        <v>1074</v>
      </c>
    </row>
    <row r="76" spans="1:4" ht="17" x14ac:dyDescent="0.4">
      <c r="A76" s="22" t="s">
        <v>872</v>
      </c>
      <c r="B76" s="1" t="s">
        <v>1075</v>
      </c>
      <c r="C76" s="24" t="s">
        <v>1075</v>
      </c>
      <c r="D76" s="24" t="s">
        <v>1076</v>
      </c>
    </row>
    <row r="77" spans="1:4" ht="17" x14ac:dyDescent="0.4">
      <c r="A77" s="22" t="s">
        <v>877</v>
      </c>
      <c r="B77" s="9" t="str">
        <f>_xlfn.TRANSLATE(ingredient_unit[[#This Row],[材料]],"zh-cht","en")</f>
        <v>Onion</v>
      </c>
      <c r="C77" s="24" t="str">
        <f>_xlfn.TRANSLATE(ingredient_unit[[#This Row],[材料]],"zh-cht","fil")</f>
        <v>sibuyas</v>
      </c>
      <c r="D77" s="24" t="str">
        <f>_xlfn.TRANSLATE(ingredient_unit[[#This Row],[材料]],"zh-cht","id")</f>
        <v>bawang</v>
      </c>
    </row>
    <row r="78" spans="1:4" ht="17" x14ac:dyDescent="0.4">
      <c r="A78" s="2" t="s">
        <v>1078</v>
      </c>
      <c r="B78" s="1" t="str">
        <f>_xlfn.TRANSLATE(ingredient_unit[[#This Row],[材料]],"zh-cht","en")</f>
        <v>Japanese-style broth buns</v>
      </c>
      <c r="C78" s="24" t="str">
        <f>_xlfn.TRANSLATE(ingredient_unit[[#This Row],[材料]],"zh-cht","fil")</f>
        <v>Mga tinapay na may sabaw na istilong Hapones</v>
      </c>
      <c r="D78" s="24" t="str">
        <f>_xlfn.TRANSLATE(ingredient_unit[[#This Row],[材料]],"zh-cht","id")</f>
        <v>Bakpao kaldu gaya Jepang</v>
      </c>
    </row>
    <row r="79" spans="1:4" ht="17" x14ac:dyDescent="0.4">
      <c r="A79" s="2" t="s">
        <v>1086</v>
      </c>
      <c r="B79" s="1" t="str">
        <f>_xlfn.TRANSLATE(ingredient_unit[[#This Row],[材料]],"zh-cht","en")</f>
        <v>Okra</v>
      </c>
      <c r="C79" s="24" t="str">
        <f>_xlfn.TRANSLATE(ingredient_unit[[#This Row],[材料]],"zh-cht","fil")</f>
        <v>okra</v>
      </c>
      <c r="D79" s="24" t="str">
        <f>_xlfn.TRANSLATE(ingredient_unit[[#This Row],[材料]],"zh-cht","id")</f>
        <v>Okra</v>
      </c>
    </row>
    <row r="80" spans="1:4" ht="17" x14ac:dyDescent="0.4">
      <c r="A80" s="2" t="s">
        <v>1088</v>
      </c>
      <c r="B80" s="1" t="str">
        <f>_xlfn.TRANSLATE(ingredient_unit[[#This Row],[材料]],"zh-cht","en")</f>
        <v>Pickled plum syrup</v>
      </c>
      <c r="C80" s="24" t="str">
        <f>_xlfn.TRANSLATE(ingredient_unit[[#This Row],[材料]],"zh-cht","fil")</f>
        <v>Pickled plum syrup</v>
      </c>
      <c r="D80" s="24" t="str">
        <f>_xlfn.TRANSLATE(ingredient_unit[[#This Row],[材料]],"zh-cht","id")</f>
        <v>Sirup plum acar</v>
      </c>
    </row>
    <row r="81" spans="1:4" ht="17" x14ac:dyDescent="0.4">
      <c r="A81" s="2" t="s">
        <v>1091</v>
      </c>
      <c r="B81" s="1" t="str">
        <f>_xlfn.TRANSLATE(ingredient_unit[[#This Row],[材料]],"zh-cht","en")</f>
        <v>Sprouts</v>
      </c>
      <c r="C81" s="24" t="str">
        <f>_xlfn.TRANSLATE(ingredient_unit[[#This Row],[材料]],"zh-cht","fil")</f>
        <v>mga usbong</v>
      </c>
      <c r="D81" s="24" t="str">
        <f>_xlfn.TRANSLATE(ingredient_unit[[#This Row],[材料]],"zh-cht","id")</f>
        <v>kecambah</v>
      </c>
    </row>
    <row r="82" spans="1:4" ht="17" x14ac:dyDescent="0.4">
      <c r="A82" s="2" t="s">
        <v>1102</v>
      </c>
      <c r="B82" s="1" t="str">
        <f>_xlfn.TRANSLATE(ingredient_unit[[#This Row],[材料]],"zh-cht","en")</f>
        <v>Cucumber</v>
      </c>
      <c r="C82" s="24" t="str">
        <f>_xlfn.TRANSLATE(ingredient_unit[[#This Row],[材料]],"zh-cht","fil")</f>
        <v>pipino</v>
      </c>
      <c r="D82" s="24" t="str">
        <f>_xlfn.TRANSLATE(ingredient_unit[[#This Row],[材料]],"zh-cht","id")</f>
        <v>mentimun</v>
      </c>
    </row>
    <row r="83" spans="1:4" ht="17" x14ac:dyDescent="0.4">
      <c r="A83" s="2" t="s">
        <v>1104</v>
      </c>
      <c r="B83" s="1" t="str">
        <f>_xlfn.TRANSLATE(ingredient_unit[[#This Row],[材料]],"zh-cht","en")</f>
        <v>Zhenjiang vinegar</v>
      </c>
      <c r="C83" s="24" t="str">
        <f>_xlfn.TRANSLATE(ingredient_unit[[#This Row],[材料]],"zh-cht","fil")</f>
        <v>Suka ng Zhenjiang</v>
      </c>
      <c r="D83" s="24" t="str">
        <f>_xlfn.TRANSLATE(ingredient_unit[[#This Row],[材料]],"zh-cht","id")</f>
        <v>Cuka Zhenjiang</v>
      </c>
    </row>
    <row r="84" spans="1:4" ht="17" x14ac:dyDescent="0.4">
      <c r="A84" s="22" t="s">
        <v>1105</v>
      </c>
      <c r="B84" s="1" t="s">
        <v>1119</v>
      </c>
      <c r="C84" s="24" t="str">
        <f>_xlfn.TRANSLATE(ingredient_unit[[#This Row],[英文]],"zh-cht","fil")</f>
        <v>Chili</v>
      </c>
      <c r="D84" s="24" t="str">
        <f>_xlfn.TRANSLATE(ingredient_unit[[#This Row],[英文]],"zh-cht","id")</f>
        <v>cabai</v>
      </c>
    </row>
    <row r="85" spans="1:4" ht="17" x14ac:dyDescent="0.4">
      <c r="A85" s="2" t="s">
        <v>1116</v>
      </c>
      <c r="B85" s="1" t="str">
        <f>_xlfn.TRANSLATE(ingredient_unit[[#This Row],[材料]],"zh-cht","en")</f>
        <v>Chicken breast</v>
      </c>
      <c r="C85" s="24" t="str">
        <f>_xlfn.TRANSLATE(ingredient_unit[[#This Row],[材料]],"zh-cht","fil")</f>
        <v>Dibdib ng manok</v>
      </c>
      <c r="D85" s="24" t="str">
        <f>_xlfn.TRANSLATE(ingredient_unit[[#This Row],[材料]],"zh-cht","id")</f>
        <v>Dada ayam</v>
      </c>
    </row>
    <row r="86" spans="1:4" ht="17" x14ac:dyDescent="0.4">
      <c r="A86" s="2" t="s">
        <v>1118</v>
      </c>
      <c r="B86" s="1" t="str">
        <f>_xlfn.TRANSLATE(ingredient_unit[[#This Row],[材料]],"zh-cht","en")</f>
        <v>White sesame</v>
      </c>
      <c r="C86" s="24" t="str">
        <f>_xlfn.TRANSLATE(ingredient_unit[[#This Row],[材料]],"zh-cht","fil")</f>
        <v>Puting linga</v>
      </c>
      <c r="D86" s="24" t="str">
        <f>_xlfn.TRANSLATE(ingredient_unit[[#This Row],[材料]],"zh-cht","id")</f>
        <v>Wijen putih</v>
      </c>
    </row>
    <row r="87" spans="1:4" ht="17" x14ac:dyDescent="0.4">
      <c r="A87" s="2" t="s">
        <v>1130</v>
      </c>
      <c r="B87" s="1" t="str">
        <f>_xlfn.TRANSLATE(ingredient_unit[[#This Row],[材料]],"zh-cht","en")</f>
        <v>Ginger juice</v>
      </c>
      <c r="C87" s="24" t="str">
        <f>_xlfn.TRANSLATE(ingredient_unit[[#This Row],[材料]],"zh-cht","fil")</f>
        <v>Katas ng luya</v>
      </c>
      <c r="D87" s="24" t="str">
        <f>_xlfn.TRANSLATE(ingredient_unit[[#This Row],[材料]],"zh-cht","id")</f>
        <v>Jus jahe</v>
      </c>
    </row>
    <row r="88" spans="1:4" ht="17" x14ac:dyDescent="0.4">
      <c r="A88" s="2" t="s">
        <v>1142</v>
      </c>
      <c r="B88" s="1" t="str">
        <f>_xlfn.TRANSLATE(ingredient_unit[[#This Row],[材料]],"zh-cht","en")</f>
        <v>Pork chop</v>
      </c>
      <c r="C88" s="24" t="str">
        <f>_xlfn.TRANSLATE(ingredient_unit[[#This Row],[材料]],"zh-cht","fil")</f>
        <v>Pork chop</v>
      </c>
      <c r="D88" s="24" t="str">
        <f>_xlfn.TRANSLATE(ingredient_unit[[#This Row],[材料]],"zh-cht","id")</f>
        <v>Daging babi</v>
      </c>
    </row>
    <row r="89" spans="1:4" ht="17" x14ac:dyDescent="0.4">
      <c r="A89" s="2" t="s">
        <v>1144</v>
      </c>
      <c r="B89" s="1" t="str">
        <f>_xlfn.TRANSLATE(ingredient_unit[[#This Row],[材料]],"zh-cht","en")</f>
        <v>Flour</v>
      </c>
      <c r="C89" s="24" t="str">
        <f>_xlfn.TRANSLATE(ingredient_unit[[#This Row],[材料]],"zh-cht","fil")</f>
        <v>harina</v>
      </c>
      <c r="D89" s="24" t="str">
        <f>_xlfn.TRANSLATE(ingredient_unit[[#This Row],[材料]],"zh-cht","id")</f>
        <v>tepung</v>
      </c>
    </row>
    <row r="90" spans="1:4" ht="17" x14ac:dyDescent="0.4">
      <c r="A90" s="2" t="s">
        <v>1150</v>
      </c>
      <c r="B90" s="1" t="str">
        <f>_xlfn.TRANSLATE(ingredient_unit[[#This Row],[材料]],"zh-cht","en")</f>
        <v>Tomato sauce</v>
      </c>
      <c r="C90" s="24" t="str">
        <f>_xlfn.TRANSLATE(ingredient_unit[[#This Row],[材料]],"zh-cht","fil")</f>
        <v>Sarsa ng kamatis</v>
      </c>
      <c r="D90" s="24" t="str">
        <f>_xlfn.TRANSLATE(ingredient_unit[[#This Row],[材料]],"zh-cht","id")</f>
        <v>Saus tomat</v>
      </c>
    </row>
    <row r="91" spans="1:4" ht="17" x14ac:dyDescent="0.4">
      <c r="A91" s="2" t="s">
        <v>1152</v>
      </c>
      <c r="B91" s="1" t="s">
        <v>1153</v>
      </c>
      <c r="C91" s="24" t="str">
        <f>_xlfn.TRANSLATE(ingredient_unit[[#This Row],[英文]],"zh-cht","fil")</f>
        <v>Sarsa ng Worcester</v>
      </c>
      <c r="D91" s="24" t="str">
        <f>_xlfn.TRANSLATE(ingredient_unit[[#This Row],[英文]],"zh-cht","id")</f>
        <v>Saus Worcester</v>
      </c>
    </row>
    <row r="92" spans="1:4" ht="17" x14ac:dyDescent="0.4">
      <c r="A92" s="2" t="s">
        <v>1155</v>
      </c>
      <c r="B92" s="1" t="str">
        <f>_xlfn.TRANSLATE(ingredient_unit[[#This Row],[材料]],"zh-cht","en")</f>
        <v>Bell peppers</v>
      </c>
      <c r="C92" s="24" t="str">
        <f>_xlfn.TRANSLATE(ingredient_unit[[#This Row],[材料]],"zh-cht","fil")</f>
        <v>Bell peppers</v>
      </c>
      <c r="D92" s="24" t="str">
        <f>_xlfn.TRANSLATE(ingredient_unit[[#This Row],[材料]],"zh-cht","id")</f>
        <v>Paprika</v>
      </c>
    </row>
    <row r="93" spans="1:4" ht="17" x14ac:dyDescent="0.4">
      <c r="A93" s="2" t="s">
        <v>1157</v>
      </c>
      <c r="B93" s="1" t="str">
        <f>_xlfn.TRANSLATE(ingredient_unit[[#This Row],[材料]],"zh-cht","en")</f>
        <v>Coma gourd</v>
      </c>
      <c r="C93" s="24" t="str">
        <f>_xlfn.TRANSLATE(ingredient_unit[[#This Row],[材料]],"zh-cht","fil")</f>
        <v>kalabasa ng coma</v>
      </c>
      <c r="D93" s="24" t="str">
        <f>_xlfn.TRANSLATE(ingredient_unit[[#This Row],[材料]],"zh-cht","id")</f>
        <v>labu koma</v>
      </c>
    </row>
    <row r="94" spans="1:4" ht="17" x14ac:dyDescent="0.4">
      <c r="A94" s="2" t="s">
        <v>1159</v>
      </c>
      <c r="B94" s="1" t="str">
        <f>_xlfn.TRANSLATE(ingredient_unit[[#This Row],[材料]],"zh-cht","en")</f>
        <v>Miso</v>
      </c>
      <c r="C94" s="24" t="str">
        <f>_xlfn.TRANSLATE(ingredient_unit[[#This Row],[材料]],"zh-cht","fil")</f>
        <v>miso</v>
      </c>
      <c r="D94" s="24" t="str">
        <f>_xlfn.TRANSLATE(ingredient_unit[[#This Row],[材料]],"zh-cht","id")</f>
        <v>miso</v>
      </c>
    </row>
    <row r="95" spans="1:4" ht="17" x14ac:dyDescent="0.4">
      <c r="A95" s="2" t="s">
        <v>1161</v>
      </c>
      <c r="B95" s="1" t="str">
        <f>_xlfn.TRANSLATE(ingredient_unit[[#This Row],[材料]],"zh-cht","en")</f>
        <v>Sake</v>
      </c>
      <c r="C95" s="24" t="str">
        <f>_xlfn.TRANSLATE(ingredient_unit[[#This Row],[材料]],"zh-cht","fil")</f>
        <v>sake</v>
      </c>
      <c r="D95" s="24" t="str">
        <f>_xlfn.TRANSLATE(ingredient_unit[[#This Row],[材料]],"zh-cht","id")</f>
        <v>sake</v>
      </c>
    </row>
    <row r="96" spans="1:4" ht="17" x14ac:dyDescent="0.4">
      <c r="A96" s="2" t="s">
        <v>1171</v>
      </c>
      <c r="B96" s="1" t="str">
        <f>_xlfn.TRANSLATE(ingredient_unit[[#This Row],[材料]],"zh-cht","en")</f>
        <v>Mixed mushrooms</v>
      </c>
      <c r="C96" s="24" t="str">
        <f>_xlfn.TRANSLATE(ingredient_unit[[#This Row],[材料]],"zh-cht","fil")</f>
        <v>Halo-halong kabute</v>
      </c>
      <c r="D96" s="24" t="str">
        <f>_xlfn.TRANSLATE(ingredient_unit[[#This Row],[材料]],"zh-cht","id")</f>
        <v>Jamur campuran</v>
      </c>
    </row>
    <row r="97" spans="1:4" ht="17" x14ac:dyDescent="0.4">
      <c r="A97" s="2" t="s">
        <v>1173</v>
      </c>
      <c r="B97" s="1" t="str">
        <f>_xlfn.TRANSLATE(ingredient_unit[[#This Row],[材料]],"zh-cht","en")</f>
        <v>Corn kernels</v>
      </c>
      <c r="C97" s="24" t="str">
        <f>_xlfn.TRANSLATE(ingredient_unit[[#This Row],[材料]],"zh-cht","fil")</f>
        <v>Mga butil ng mais</v>
      </c>
      <c r="D97" s="24" t="str">
        <f>_xlfn.TRANSLATE(ingredient_unit[[#This Row],[材料]],"zh-cht","id")</f>
        <v>Biji jagung</v>
      </c>
    </row>
    <row r="98" spans="1:4" ht="17" x14ac:dyDescent="0.4">
      <c r="A98" s="2" t="s">
        <v>1175</v>
      </c>
      <c r="B98" s="1" t="s">
        <v>1176</v>
      </c>
      <c r="C98" s="24" t="str">
        <f>_xlfn.TRANSLATE(ingredient_unit[[#This Row],[英文]],"zh-cht","fil")</f>
        <v>basil</v>
      </c>
      <c r="D98" s="24" t="str">
        <f>_xlfn.TRANSLATE(ingredient_unit[[#This Row],[英文]],"zh-cht","id")</f>
        <v>kemangi</v>
      </c>
    </row>
    <row r="99" spans="1:4" ht="17" x14ac:dyDescent="0.4">
      <c r="A99" s="2" t="s">
        <v>1188</v>
      </c>
      <c r="B99" s="1" t="str">
        <f>_xlfn.TRANSLATE(ingredient_unit[[#This Row],[材料]],"zh-cht","en")</f>
        <v>Thin slices of beef</v>
      </c>
      <c r="C99" s="24" t="str">
        <f>_xlfn.TRANSLATE(ingredient_unit[[#This Row],[材料]],"zh-cht","fil")</f>
        <v>Manipis na hiwa ng baka</v>
      </c>
      <c r="D99" s="24" t="str">
        <f>_xlfn.TRANSLATE(ingredient_unit[[#This Row],[材料]],"zh-cht","id")</f>
        <v>Irisan tipis daging sapi</v>
      </c>
    </row>
    <row r="100" spans="1:4" ht="17" x14ac:dyDescent="0.4">
      <c r="A100" s="2" t="s">
        <v>1190</v>
      </c>
      <c r="B100" s="1" t="s">
        <v>1191</v>
      </c>
      <c r="C100" s="24" t="str">
        <f>_xlfn.TRANSLATE(ingredient_unit[[#This Row],[英文]],"zh-cht","fil")</f>
        <v>Dashi</v>
      </c>
      <c r="D100" s="24" t="str">
        <f>_xlfn.TRANSLATE(ingredient_unit[[#This Row],[英文]],"zh-cht","id")</f>
        <v>dashi</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8BE8-BBDC-4718-ACF0-5E3D83DB959E}">
  <dimension ref="A1:F12"/>
  <sheetViews>
    <sheetView workbookViewId="0">
      <selection activeCell="C9" sqref="C9"/>
    </sheetView>
  </sheetViews>
  <sheetFormatPr defaultRowHeight="17" x14ac:dyDescent="0.4"/>
  <cols>
    <col min="1" max="1" width="8.7265625" style="1"/>
    <col min="2" max="2" width="8.7265625" style="18"/>
    <col min="3" max="3" width="10" bestFit="1" customWidth="1"/>
    <col min="4" max="4" width="13.453125" bestFit="1" customWidth="1"/>
    <col min="5" max="5" width="10" bestFit="1" customWidth="1"/>
  </cols>
  <sheetData>
    <row r="1" spans="1:6" x14ac:dyDescent="0.4">
      <c r="B1" s="16"/>
    </row>
    <row r="2" spans="1:6" x14ac:dyDescent="0.4">
      <c r="A2" s="2" t="s">
        <v>719</v>
      </c>
      <c r="B2" s="17" t="s">
        <v>115</v>
      </c>
      <c r="C2" s="14" t="s">
        <v>564</v>
      </c>
      <c r="D2" s="14" t="s">
        <v>127</v>
      </c>
      <c r="E2" s="14" t="s">
        <v>126</v>
      </c>
      <c r="F2" s="13" t="s">
        <v>547</v>
      </c>
    </row>
    <row r="3" spans="1:6" x14ac:dyDescent="0.4">
      <c r="A3" s="2" t="s">
        <v>479</v>
      </c>
      <c r="B3" t="s">
        <v>114</v>
      </c>
      <c r="C3" t="s">
        <v>562</v>
      </c>
      <c r="D3" t="s">
        <v>254</v>
      </c>
      <c r="E3" s="2" t="s">
        <v>229</v>
      </c>
      <c r="F3" t="s">
        <v>549</v>
      </c>
    </row>
    <row r="4" spans="1:6" x14ac:dyDescent="0.4">
      <c r="A4" s="2" t="s">
        <v>27</v>
      </c>
      <c r="B4" t="s">
        <v>461</v>
      </c>
      <c r="C4" t="s">
        <v>563</v>
      </c>
      <c r="D4" t="s">
        <v>253</v>
      </c>
      <c r="E4" s="2" t="s">
        <v>249</v>
      </c>
      <c r="F4" t="s">
        <v>551</v>
      </c>
    </row>
    <row r="5" spans="1:6" x14ac:dyDescent="0.4">
      <c r="A5" s="2" t="s">
        <v>110</v>
      </c>
      <c r="B5" t="s">
        <v>462</v>
      </c>
      <c r="C5" t="s">
        <v>565</v>
      </c>
      <c r="D5" t="s">
        <v>230</v>
      </c>
      <c r="E5" s="2" t="s">
        <v>464</v>
      </c>
      <c r="F5" t="s">
        <v>553</v>
      </c>
    </row>
    <row r="6" spans="1:6" x14ac:dyDescent="0.4">
      <c r="A6" s="2" t="s">
        <v>109</v>
      </c>
      <c r="B6"/>
      <c r="C6" t="s">
        <v>799</v>
      </c>
      <c r="D6" t="s">
        <v>234</v>
      </c>
      <c r="E6" s="2" t="s">
        <v>250</v>
      </c>
      <c r="F6" t="s">
        <v>555</v>
      </c>
    </row>
    <row r="7" spans="1:6" x14ac:dyDescent="0.4">
      <c r="A7" s="2" t="s">
        <v>5</v>
      </c>
      <c r="B7"/>
      <c r="C7" t="s">
        <v>501</v>
      </c>
      <c r="D7" s="2" t="s">
        <v>233</v>
      </c>
      <c r="E7" s="2" t="s">
        <v>490</v>
      </c>
    </row>
    <row r="8" spans="1:6" x14ac:dyDescent="0.4">
      <c r="A8" s="2" t="s">
        <v>720</v>
      </c>
      <c r="B8"/>
      <c r="C8" t="s">
        <v>555</v>
      </c>
      <c r="D8" s="2" t="s">
        <v>252</v>
      </c>
      <c r="E8" s="2" t="s">
        <v>502</v>
      </c>
    </row>
    <row r="9" spans="1:6" x14ac:dyDescent="0.4">
      <c r="A9" s="2" t="s">
        <v>13</v>
      </c>
      <c r="B9"/>
      <c r="D9" s="2" t="s">
        <v>232</v>
      </c>
      <c r="E9" s="2" t="s">
        <v>541</v>
      </c>
    </row>
    <row r="10" spans="1:6" x14ac:dyDescent="0.4">
      <c r="A10" s="2" t="s">
        <v>111</v>
      </c>
      <c r="B10"/>
      <c r="D10" s="2" t="s">
        <v>251</v>
      </c>
      <c r="E10" s="2" t="s">
        <v>543</v>
      </c>
    </row>
    <row r="11" spans="1:6" x14ac:dyDescent="0.4">
      <c r="A11" s="2" t="s">
        <v>35</v>
      </c>
      <c r="D11" s="2" t="s">
        <v>253</v>
      </c>
    </row>
    <row r="12" spans="1:6" x14ac:dyDescent="0.4">
      <c r="D12" s="2" t="s">
        <v>231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菜式清單</vt:lpstr>
      <vt:lpstr>材料</vt:lpstr>
      <vt:lpstr>做法</vt:lpstr>
      <vt:lpstr>材料庫</vt:lpstr>
      <vt:lpstr>清單選項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k32932</dc:creator>
  <cp:lastModifiedBy>k32932</cp:lastModifiedBy>
  <dcterms:created xsi:type="dcterms:W3CDTF">2026-10-15T01:35:11Z</dcterms:created>
  <dcterms:modified xsi:type="dcterms:W3CDTF">2026-10-28T16:20:21Z</dcterms:modified>
</cp:coreProperties>
</file>